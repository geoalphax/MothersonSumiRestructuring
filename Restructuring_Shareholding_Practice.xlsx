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Merger Calc" sheetId="2" state="visible" r:id="rId4"/>
    <sheet name="Demerger Calc" sheetId="3" state="visible" r:id="rId5"/>
    <sheet name="Motherson Model" sheetId="4" state="visible" r:id="rId6"/>
    <sheet name="Practice" sheetId="5" state="visible" r:id="rId7"/>
    <sheet name="Solutio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8" authorId="0">
      <text>
        <r>
          <rPr>
            <sz val="10"/>
            <rFont val="Arial"/>
            <family val="2"/>
          </rPr>
          <t xml:space="preserve">Average of the three valuers (PW&amp;Co 100.51, BSR 101.81, Incwert 101). Source: NSE filing 24 Jul 2020, Annexures 2A/2B.</t>
        </r>
      </text>
    </comment>
    <comment ref="C9" authorId="0">
      <text>
        <r>
          <rPr>
            <sz val="10"/>
            <rFont val="Arial"/>
            <family val="2"/>
          </rPr>
          <t xml:space="preserve">Average of the three valuers (512.81, 519.27, 516).</t>
        </r>
      </text>
    </comment>
    <comment ref="C26" authorId="0">
      <text>
        <r>
          <rPr>
            <sz val="10"/>
            <rFont val="Arial"/>
            <family val="2"/>
          </rPr>
          <t xml:space="preserve">90.4% of SAMIL's 473.61 mn shares (Sehgal family). Source: investor presentation, July 2020.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1" authorId="0">
      <text>
        <r>
          <rPr>
            <sz val="10"/>
            <rFont val="Arial"/>
            <family val="2"/>
          </rPr>
          <t xml:space="preserve">MSSL close on 13 Jan 2022, last day with DWH. Source: The Tech Outlook / exchange data.</t>
        </r>
      </text>
    </comment>
    <comment ref="C12" authorId="0">
      <text>
        <r>
          <rPr>
            <sz val="10"/>
            <rFont val="Arial"/>
            <family val="2"/>
          </rPr>
          <t xml:space="preserve">Market-implied: 234.8 − 187.6 ex-date price on 14 Jan 2022.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Source: MSSL shareholding at 31 Mar / 30 Jun 2020, NSE filing p.63 and investor presentation.</t>
        </r>
      </text>
    </comment>
  </commentList>
</comments>
</file>

<file path=xl/sharedStrings.xml><?xml version="1.0" encoding="utf-8"?>
<sst xmlns="http://schemas.openxmlformats.org/spreadsheetml/2006/main" count="517" uniqueCount="337">
  <si>
    <t xml:space="preserve">Restructuring Shareholding Practice Workbook</t>
  </si>
  <si>
    <t xml:space="preserve">Built for the IB course, Session 7 (M&amp;A and Restructuring). Practise merger, demerger and composite-scheme shareholding maths.</t>
  </si>
  <si>
    <t xml:space="preserve">How to use this workbook</t>
  </si>
  <si>
    <t xml:space="preserve">1. Merger Calc</t>
  </si>
  <si>
    <t xml:space="preserve">Any share-swap merger. Enter both companies' shareholders and values. It computes the swap ratio, new shares, cancellations, post-deal ownership and a fairness check.</t>
  </si>
  <si>
    <t xml:space="preserve">2. Demerger Calc</t>
  </si>
  <si>
    <t xml:space="preserve">Any demerger. Enter the parent's shareholders and the entitlement ratio (and an optional stake the parent keeps, ITC-style). It computes the new company's ownership, look-through stakes and the ex-price.</t>
  </si>
  <si>
    <t xml:space="preserve">3. Motherson Model</t>
  </si>
  <si>
    <t xml:space="preserve">The real deal with real numbers, worked in BOTH orders (demerge then merge vs merge then demerge) side by side.</t>
  </si>
  <si>
    <t xml:space="preserve">4. Practice</t>
  </si>
  <si>
    <t xml:space="preserve">11 problems. Type answers in the YELLOW cells. The Check column says Correct or Try again. Hints are next to each question.</t>
  </si>
  <si>
    <t xml:space="preserve">5. Solutions</t>
  </si>
  <si>
    <t xml:space="preserve">Worked answers with live formulas. Look only after you attempt the Practice sheet.</t>
  </si>
  <si>
    <t xml:space="preserve">Colour legend</t>
  </si>
  <si>
    <t xml:space="preserve">Blue text</t>
  </si>
  <si>
    <t xml:space="preserve">Inputs you can change (hardcoded numbers).</t>
  </si>
  <si>
    <t xml:space="preserve">Black text</t>
  </si>
  <si>
    <t xml:space="preserve">Formulas. Don't overwrite them.</t>
  </si>
  <si>
    <t xml:space="preserve">Green text</t>
  </si>
  <si>
    <t xml:space="preserve">Formula pulling from another sheet.</t>
  </si>
  <si>
    <t xml:space="preserve">Yellow fill</t>
  </si>
  <si>
    <t xml:space="preserve">Your answer cells on the Practice sheet.</t>
  </si>
  <si>
    <t xml:space="preserve">The five formulas that solve almost every question</t>
  </si>
  <si>
    <t xml:space="preserve">Swap ratio</t>
  </si>
  <si>
    <t xml:space="preserve">Target value per share ÷ Acquirer value per share</t>
  </si>
  <si>
    <t xml:space="preserve">New shares issued</t>
  </si>
  <si>
    <t xml:space="preserve">Target shares outstanding × swap ratio</t>
  </si>
  <si>
    <t xml:space="preserve">Post-merger shares</t>
  </si>
  <si>
    <t xml:space="preserve">Acquirer shares − cancelled cross-holding + new shares</t>
  </si>
  <si>
    <t xml:space="preserve">Demerger shares to a holder</t>
  </si>
  <si>
    <t xml:space="preserve">Holder's parent shares × (new shares ÷ parent shares)   [mirror ownership]</t>
  </si>
  <si>
    <t xml:space="preserve">Look-through stake</t>
  </si>
  <si>
    <t xml:space="preserve">Direct stake + Σ (stake in each holding company × that company's stake in the business)</t>
  </si>
  <si>
    <t xml:space="preserve">Fairness check</t>
  </si>
  <si>
    <t xml:space="preserve">Value per share after = (Acquirer value + Target value − value of cancelled shares) ÷ post-merger shares. Unchanged = fair.</t>
  </si>
  <si>
    <t xml:space="preserve">Units: shares in millions (mn), values in ₹ crore unless stated. Motherson data is from the 2020 investor presentation, FAQs and valuation reports.</t>
  </si>
  <si>
    <t xml:space="preserve">Merger Calculator (share swap)</t>
  </si>
  <si>
    <t xml:space="preserve">Prefilled with Motherson Step 2 (SAMIL merging into MSSL ex-DWH). Change any blue cell. Shares in mn, values in ₹ per share.</t>
  </si>
  <si>
    <t xml:space="preserve">Inputs</t>
  </si>
  <si>
    <t xml:space="preserve">Acquirer (surviving company)</t>
  </si>
  <si>
    <t xml:space="preserve">MSSL ex-DWH</t>
  </si>
  <si>
    <t xml:space="preserve">Target (merging company)</t>
  </si>
  <si>
    <t xml:space="preserve">SAMIL</t>
  </si>
  <si>
    <t xml:space="preserve">Acquirer value per share (₹)</t>
  </si>
  <si>
    <t xml:space="preserve">Target value per share (₹)</t>
  </si>
  <si>
    <t xml:space="preserve">Swap ratio override (leave blank to use values)</t>
  </si>
  <si>
    <t xml:space="preserve">Deal ratio 51:10 = 5.1. Delete to use the value-based ratio.</t>
  </si>
  <si>
    <t xml:space="preserve">Swap ratio used (acquirer shares per target share)</t>
  </si>
  <si>
    <t xml:space="preserve">Value-based (fair) ratio</t>
  </si>
  <si>
    <t xml:space="preserve">Acquirer shareholders (before)</t>
  </si>
  <si>
    <t xml:space="preserve">Holder</t>
  </si>
  <si>
    <t xml:space="preserve">Shares (mn)</t>
  </si>
  <si>
    <t xml:space="preserve">Held by target? (Y = cancel)</t>
  </si>
  <si>
    <t xml:space="preserve">% before</t>
  </si>
  <si>
    <t xml:space="preserve">Y</t>
  </si>
  <si>
    <t xml:space="preserve">SWS</t>
  </si>
  <si>
    <t xml:space="preserve">N</t>
  </si>
  <si>
    <t xml:space="preserve">Family (direct)</t>
  </si>
  <si>
    <t xml:space="preserve">Public</t>
  </si>
  <si>
    <t xml:space="preserve">Total</t>
  </si>
  <si>
    <t xml:space="preserve">Target shareholders (before)</t>
  </si>
  <si>
    <t xml:space="preserve">Family</t>
  </si>
  <si>
    <t xml:space="preserve">Sojitz + staff</t>
  </si>
  <si>
    <t xml:space="preserve">Share count bridge</t>
  </si>
  <si>
    <t xml:space="preserve">Acquirer shares before</t>
  </si>
  <si>
    <t xml:space="preserve">Less: shares held by target, cancelled</t>
  </si>
  <si>
    <t xml:space="preserve">Add: new shares issued (target shares × ratio)</t>
  </si>
  <si>
    <t xml:space="preserve">Shares after merger</t>
  </si>
  <si>
    <t xml:space="preserve">Net increase in share count (dilution)</t>
  </si>
  <si>
    <t xml:space="preserve">Ownership after merger</t>
  </si>
  <si>
    <t xml:space="preserve">Shares after (mn)</t>
  </si>
  <si>
    <t xml:space="preserve">% after</t>
  </si>
  <si>
    <t xml:space="preserve">Came from</t>
  </si>
  <si>
    <t xml:space="preserve">Consolidated by holder (adds up a holder that appears in both companies)</t>
  </si>
  <si>
    <t xml:space="preserve">Holder name (type exactly as above)</t>
  </si>
  <si>
    <t xml:space="preserve">Family total (direct + via target)</t>
  </si>
  <si>
    <t xml:space="preserve">Fairness check: does value per share change?</t>
  </si>
  <si>
    <t xml:space="preserve">Acquirer equity value (₹ cr) = shares × ₹/share ÷ 10</t>
  </si>
  <si>
    <t xml:space="preserve">Target equity value (₹ cr)</t>
  </si>
  <si>
    <t xml:space="preserve">Less: value of cancelled acquirer shares (₹ cr)</t>
  </si>
  <si>
    <t xml:space="preserve">Merged equity value (₹ cr)</t>
  </si>
  <si>
    <t xml:space="preserve">Value per share after (₹)</t>
  </si>
  <si>
    <t xml:space="preserve">Value per share before (₹)</t>
  </si>
  <si>
    <t xml:space="preserve">Change for continuing holders</t>
  </si>
  <si>
    <t xml:space="preserve">~0% = fair. Negative = value moved to target holders. Positive = value moved to acquirer holders.</t>
  </si>
  <si>
    <t xml:space="preserve">Note: shares (mn) × ₹/share ÷ 10 = ₹ crore.</t>
  </si>
  <si>
    <t xml:space="preserve">Demerger Calculator</t>
  </si>
  <si>
    <t xml:space="preserve">Prefilled with Motherson Step 1 (DWH into MSWIL, 1:1). Try ITC Hotels: 1 new per 10 parent shares, parent keeps 40%.</t>
  </si>
  <si>
    <t xml:space="preserve">Parent company</t>
  </si>
  <si>
    <t xml:space="preserve">MSSL</t>
  </si>
  <si>
    <t xml:space="preserve">Resulting (new) company</t>
  </si>
  <si>
    <t xml:space="preserve">MSWIL</t>
  </si>
  <si>
    <t xml:space="preserve">New shares issued (numerator)</t>
  </si>
  <si>
    <t xml:space="preserve">… for every X parent shares (denominator)</t>
  </si>
  <si>
    <t xml:space="preserve">Parent keeps this % of new company</t>
  </si>
  <si>
    <t xml:space="preserve">0% for Motherson. 40% for ITC Hotels.</t>
  </si>
  <si>
    <t xml:space="preserve">Parent share price before ex-date (₹)</t>
  </si>
  <si>
    <t xml:space="preserve">Value of demerged business per parent share (₹)</t>
  </si>
  <si>
    <t xml:space="preserve">Parent shareholders</t>
  </si>
  <si>
    <t xml:space="preserve">Parent shares (mn)</t>
  </si>
  <si>
    <t xml:space="preserve">% of parent</t>
  </si>
  <si>
    <t xml:space="preserve">New co shares (mn)</t>
  </si>
  <si>
    <t xml:space="preserve">% of new co (direct)</t>
  </si>
  <si>
    <t xml:space="preserve">Look-through % of business</t>
  </si>
  <si>
    <t xml:space="preserve">Look-through = direct stake + (stake in parent × parent's stake in new co). With mirror ownership it equals the % of parent: nobody gains or loses.</t>
  </si>
  <si>
    <t xml:space="preserve">Total to parent's shareholders</t>
  </si>
  <si>
    <t xml:space="preserve">Parent company itself (retained stake)</t>
  </si>
  <si>
    <t xml:space="preserve">New company total shares</t>
  </si>
  <si>
    <t xml:space="preserve">Price adjustment on the ex-date</t>
  </si>
  <si>
    <t xml:space="preserve">Parent price before (₹)</t>
  </si>
  <si>
    <t xml:space="preserve">Less: value leaving per parent share (₹)</t>
  </si>
  <si>
    <t xml:space="preserve">Expected parent ex-price (₹)</t>
  </si>
  <si>
    <t xml:space="preserve">Implied price per new co share (₹)</t>
  </si>
  <si>
    <t xml:space="preserve">For Motherson the market-implied MSWIL value was ~₹47; it listed at ₹66 on 28 Mar 2022.</t>
  </si>
  <si>
    <t xml:space="preserve">Check: ex-price + entitlement value = old price (₹)</t>
  </si>
  <si>
    <t xml:space="preserve">Motherson: why the order mattered</t>
  </si>
  <si>
    <t xml:space="preserve">Real numbers. Left: what they did (demerge, then merge). Right: the alternative (merge, then demerge). Shares in mn.</t>
  </si>
  <si>
    <t xml:space="preserve">MSSL shares held by SAMIL</t>
  </si>
  <si>
    <t xml:space="preserve">MSSL shares held by SWS (incl. HK Wiring)</t>
  </si>
  <si>
    <t xml:space="preserve">MSSL shares held by family directly</t>
  </si>
  <si>
    <t xml:space="preserve">MSSL shares held by public</t>
  </si>
  <si>
    <t xml:space="preserve">SAMIL shares outstanding (₹10 face value)</t>
  </si>
  <si>
    <t xml:space="preserve">Family share of SAMIL</t>
  </si>
  <si>
    <t xml:space="preserve">Sojitz + staff share of SAMIL</t>
  </si>
  <si>
    <t xml:space="preserve">Swap ratio, demerge-first (actual)</t>
  </si>
  <si>
    <t xml:space="preserve">Swap ratio, merge-first (alternative)</t>
  </si>
  <si>
    <t xml:space="preserve">If DWH stays inside MSSL, MSSL is worth more per share, so a fair ratio would be ~4.5. Try it.</t>
  </si>
  <si>
    <t xml:space="preserve">DWH entitlement (new shares per MSSL share)</t>
  </si>
  <si>
    <t xml:space="preserve">MSSL total shares before</t>
  </si>
  <si>
    <t xml:space="preserve">A. Demerge first, then merge (ACTUAL)</t>
  </si>
  <si>
    <t xml:space="preserve">B. Merge first, then demerge</t>
  </si>
  <si>
    <t xml:space="preserve">Step 1 (A): MSWIL issued to MSSL holders</t>
  </si>
  <si>
    <t xml:space="preserve">Step 1 (B): merger</t>
  </si>
  <si>
    <t xml:space="preserve">MSWIL holder</t>
  </si>
  <si>
    <t xml:space="preserve">Shares</t>
  </si>
  <si>
    <t xml:space="preserve">%</t>
  </si>
  <si>
    <t xml:space="preserve">Item</t>
  </si>
  <si>
    <t xml:space="preserve">MSSL shares before</t>
  </si>
  <si>
    <t xml:space="preserve">Cancel SAMIL's MSSL shares</t>
  </si>
  <si>
    <t xml:space="preserve">New shares to SAMIL holders</t>
  </si>
  <si>
    <t xml:space="preserve">Merged shares</t>
  </si>
  <si>
    <t xml:space="preserve">Total MSWIL shares</t>
  </si>
  <si>
    <t xml:space="preserve">Step 2 (A): merger of SAMIL into MSSL ex-DWH</t>
  </si>
  <si>
    <t xml:space="preserve">Step 2 (B): MSWIL mirrors merged MSSL</t>
  </si>
  <si>
    <t xml:space="preserve">Result: ownership of the main listed company (Motherson)</t>
  </si>
  <si>
    <t xml:space="preserve">A: shares</t>
  </si>
  <si>
    <t xml:space="preserve">A: %</t>
  </si>
  <si>
    <t xml:space="preserve">B: shares</t>
  </si>
  <si>
    <t xml:space="preserve">B: %</t>
  </si>
  <si>
    <t xml:space="preserve">Result: ownership of the wiring company (MSWIL)</t>
  </si>
  <si>
    <t xml:space="preserve">Motherson (listed parent)</t>
  </si>
  <si>
    <t xml:space="preserve">In A, Motherson's 33.4% is SAMIL's MSWIL stake that moved in with the merger.</t>
  </si>
  <si>
    <t xml:space="preserve">Look-through: each party's real share of the Indian wiring business</t>
  </si>
  <si>
    <t xml:space="preserve">Party</t>
  </si>
  <si>
    <t xml:space="preserve">A (actual)</t>
  </si>
  <si>
    <t xml:space="preserve">B (alternative)</t>
  </si>
  <si>
    <t xml:space="preserve">So what</t>
  </si>
  <si>
    <t xml:space="preserve">SWS keeps more of the business it wanted in A</t>
  </si>
  <si>
    <t xml:space="preserve">Family gets far more DWH directly in B</t>
  </si>
  <si>
    <t xml:space="preserve">Public (old MSSL holders)</t>
  </si>
  <si>
    <t xml:space="preserve">Public owns more DWH in A</t>
  </si>
  <si>
    <t xml:space="preserve">Practice Problems</t>
  </si>
  <si>
    <t xml:space="preserve">Type your answer in the YELLOW cell. Percentages: type 48% (or 0.48). The Check column turns to Correct within 0.5%. Hints on the right; full workings on the Solutions sheet.</t>
  </si>
  <si>
    <t xml:space="preserve">Tip: change the blue inputs on the Solutions sheet to generate fresh variants of every problem.</t>
  </si>
  <si>
    <t xml:space="preserve">P1</t>
  </si>
  <si>
    <t xml:space="preserve">Simple merger</t>
  </si>
  <si>
    <t xml:space="preserve">Acquirer: 1,000 mn shares (Promoter A 600, Public A 400), worth ₹200/share. Target: 500 mn shares (Promoter T 300, Public T 200), worth ₹100/share. Share-swap merger, no cross-holdings.</t>
  </si>
  <si>
    <t xml:space="preserve">Question</t>
  </si>
  <si>
    <t xml:space="preserve">Your answer</t>
  </si>
  <si>
    <t xml:space="preserve">Check</t>
  </si>
  <si>
    <t xml:space="preserve">Hint</t>
  </si>
  <si>
    <t xml:space="preserve">Ratio = 100 ÷ 200. Total shares = 1,000 + new shares.</t>
  </si>
  <si>
    <t xml:space="preserve">New shares issued (mn)</t>
  </si>
  <si>
    <t xml:space="preserve">Example: the swap-ratio answer (0.5) is filled in to show the format.</t>
  </si>
  <si>
    <t xml:space="preserve">Total shares after (mn)</t>
  </si>
  <si>
    <t xml:space="preserve">Promoter A % after</t>
  </si>
  <si>
    <t xml:space="preserve">Public A % after</t>
  </si>
  <si>
    <t xml:space="preserve">Promoter T % after</t>
  </si>
  <si>
    <t xml:space="preserve">Public T % after</t>
  </si>
  <si>
    <t xml:space="preserve">P2</t>
  </si>
  <si>
    <t xml:space="preserve">Promoter holdco merger</t>
  </si>
  <si>
    <t xml:space="preserve">ListCo: 1,000 mn shares (HoldCo 400, Public 600), worth ₹50/share. HoldCo: 100 mn shares, 100% owned by Promoter. HoldCo holds its 400 ListCo shares plus other assets of ₹10,000 mn and net debt of ₹2,000 mn. HoldCo merges into ListCo.</t>
  </si>
  <si>
    <t xml:space="preserve">HoldCo equity value (₹ mn)</t>
  </si>
  <si>
    <t xml:space="preserve">HoldCo value = 400 × 50 + 10,000 − 2,000. Cancel HoldCo's 400 ListCo shares.</t>
  </si>
  <si>
    <t xml:space="preserve">HoldCo value per share (₹)</t>
  </si>
  <si>
    <t xml:space="preserve">New ListCo shares issued (mn)</t>
  </si>
  <si>
    <t xml:space="preserve">Shares cancelled (mn)</t>
  </si>
  <si>
    <t xml:space="preserve">Total ListCo shares after (mn)</t>
  </si>
  <si>
    <t xml:space="preserve">Promoter % after</t>
  </si>
  <si>
    <t xml:space="preserve">Public % after</t>
  </si>
  <si>
    <t xml:space="preserve">P3</t>
  </si>
  <si>
    <t xml:space="preserve">Mirror demerger</t>
  </si>
  <si>
    <t xml:space="preserve">Parent: 2,000 mn shares (Promoter 1,000, FIIs 400, Public 600). Demerger ratio: 1 new share for every 4 parent shares.</t>
  </si>
  <si>
    <t xml:space="preserve">New company total shares (mn)</t>
  </si>
  <si>
    <t xml:space="preserve">Each holder gets parent shares ÷ 4.</t>
  </si>
  <si>
    <t xml:space="preserve">Promoter shares in new co (mn)</t>
  </si>
  <si>
    <t xml:space="preserve">Promoter % of new co</t>
  </si>
  <si>
    <t xml:space="preserve">FII % of new co</t>
  </si>
  <si>
    <t xml:space="preserve">Public % of new co</t>
  </si>
  <si>
    <t xml:space="preserve">P4</t>
  </si>
  <si>
    <t xml:space="preserve">Demerger with retained stake</t>
  </si>
  <si>
    <t xml:space="preserve">Parent: 1,000 mn shares (Institutions 700, Retail 300). Ratio: 1 new share per 10 parent shares. The parent itself keeps 40% of the new company (holders get 60%).</t>
  </si>
  <si>
    <t xml:space="preserve">New co shares issued to parent's holders (mn)</t>
  </si>
  <si>
    <t xml:space="preserve">Total new co shares = shares to holders ÷ 60%.</t>
  </si>
  <si>
    <t xml:space="preserve">New co total shares (mn)</t>
  </si>
  <si>
    <t xml:space="preserve">Parent's new co shares (mn)</t>
  </si>
  <si>
    <t xml:space="preserve">Institutions direct % of new co</t>
  </si>
  <si>
    <t xml:space="preserve">Institutions look-through % of new co</t>
  </si>
  <si>
    <t xml:space="preserve">P5</t>
  </si>
  <si>
    <t xml:space="preserve">Ex-date price</t>
  </si>
  <si>
    <t xml:space="preserve">Parent trades at ₹500. The demerged business is worth ₹120 per parent share. Ratio 1:1. The new company lists at ₹150.</t>
  </si>
  <si>
    <t xml:space="preserve">Ex-price = 500 − 120.</t>
  </si>
  <si>
    <t xml:space="preserve">Holder's value after listing (₹ per original share)</t>
  </si>
  <si>
    <t xml:space="preserve">Gain vs before (%)</t>
  </si>
  <si>
    <t xml:space="preserve">P6</t>
  </si>
  <si>
    <t xml:space="preserve">Motherson actual</t>
  </si>
  <si>
    <t xml:space="preserve">MSSL: 3,157.93 mn shares; SAMIL holds 1,055.75 mn; family holds 93.24 mn directly. SAMIL: 473.61 mn shares, 90.4% family. Ratio 5.1.</t>
  </si>
  <si>
    <t xml:space="preserve">New = 473.61 × 5.1. Cancel SAMIL's MSSL shares.</t>
  </si>
  <si>
    <t xml:space="preserve">Merged shares (mn)</t>
  </si>
  <si>
    <t xml:space="preserve">Family % after</t>
  </si>
  <si>
    <t xml:space="preserve">P7</t>
  </si>
  <si>
    <t xml:space="preserve">Order matters</t>
  </si>
  <si>
    <t xml:space="preserve">MSSL: 100 shares (SAMIL 33, Public 39, SWS 25, Family 3). SAMIL's other assets are worth 43 MSSL shares. Family owns 90% of SAMIL. Compare SWS's stake in the wiring company under each order.</t>
  </si>
  <si>
    <t xml:space="preserve">SAMIL is worth 33 + 43 MSSL shares.</t>
  </si>
  <si>
    <t xml:space="preserve">Family % after merger</t>
  </si>
  <si>
    <t xml:space="preserve">SWS % of wiring co if MERGE first</t>
  </si>
  <si>
    <t xml:space="preserve">SWS % of wiring co if DEMERGE first</t>
  </si>
  <si>
    <t xml:space="preserve">P8</t>
  </si>
  <si>
    <t xml:space="preserve">Value leakage</t>
  </si>
  <si>
    <t xml:space="preserve">Same as P2 (HoldCo equity worth ₹28,000 mn), but the board agrees a ratio of 6.5 instead of the fair 5.6.</t>
  </si>
  <si>
    <t xml:space="preserve">Value per share after = (50,000 + 28,000 − 20,000) ÷ total shares.</t>
  </si>
  <si>
    <t xml:space="preserve">Public value before (₹ mn)</t>
  </si>
  <si>
    <t xml:space="preserve">Public value after (₹ mn)</t>
  </si>
  <si>
    <t xml:space="preserve">Public gain / (loss) (₹ mn)</t>
  </si>
  <si>
    <t xml:space="preserve">P9</t>
  </si>
  <si>
    <t xml:space="preserve">EPS accretion</t>
  </si>
  <si>
    <t xml:space="preserve">Acquirer PAT ₹537 cr on 3,157.9 mn shares. After the merger: PAT ₹830 cr on 4,517.6 mn shares.</t>
  </si>
  <si>
    <t xml:space="preserve">EPS before (₹)</t>
  </si>
  <si>
    <t xml:space="preserve">EPS = ₹ cr ÷ mn shares × 10.</t>
  </si>
  <si>
    <t xml:space="preserve">EPS after (₹)</t>
  </si>
  <si>
    <t xml:space="preserve">Accretion / (dilution)</t>
  </si>
  <si>
    <t xml:space="preserve">P10</t>
  </si>
  <si>
    <t xml:space="preserve">Vote tests</t>
  </si>
  <si>
    <t xml:space="preserve">Votes FOR 2,700 mn shares, AGAINST 60 mn. Of these, public FOR 760 mn, public AGAINST 4.3 mn.</t>
  </si>
  <si>
    <t xml:space="preserve">% FOR by value (needs ≥ 75%)</t>
  </si>
  <si>
    <t xml:space="preserve">Three-fourths by value; public FOR must exceed public AGAINST.</t>
  </si>
  <si>
    <t xml:space="preserve">Public % FOR (needs &gt; 50%)</t>
  </si>
  <si>
    <t xml:space="preserve">Passes both? (1 = yes, 0 = no)</t>
  </si>
  <si>
    <t xml:space="preserve">P11</t>
  </si>
  <si>
    <t xml:space="preserve">Look-through</t>
  </si>
  <si>
    <t xml:space="preserve">Public held 38.27% of MSSL, which held 51% of SMRP BV. After the merger the public holds 26.75% of a company that owns 100% of SMRP BV.</t>
  </si>
  <si>
    <t xml:space="preserve">Public look-through in SMRP BV before</t>
  </si>
  <si>
    <t xml:space="preserve">Multiply stakes along the chain.</t>
  </si>
  <si>
    <t xml:space="preserve">Public look-through in SMRP BV after</t>
  </si>
  <si>
    <t xml:space="preserve">Change (percentage points)</t>
  </si>
  <si>
    <t xml:space="preserve">Score</t>
  </si>
  <si>
    <t xml:space="preserve">Solutions (worked with formulas)</t>
  </si>
  <si>
    <t xml:space="preserve">Problem inputs are blue. Change them to create new practice variants. Practice sheet checks against these answers.</t>
  </si>
  <si>
    <t xml:space="preserve">Acquirer shares (mn)</t>
  </si>
  <si>
    <t xml:space="preserve">  of which Promoter A</t>
  </si>
  <si>
    <t xml:space="preserve">  of which Public A</t>
  </si>
  <si>
    <t xml:space="preserve">Target shares (mn)</t>
  </si>
  <si>
    <t xml:space="preserve">  of which Promoter T</t>
  </si>
  <si>
    <t xml:space="preserve">  of which Public T</t>
  </si>
  <si>
    <t xml:space="preserve">Target ₹/share ÷ acquirer ₹/share</t>
  </si>
  <si>
    <t xml:space="preserve">Target shares × ratio</t>
  </si>
  <si>
    <t xml:space="preserve">No cross-holding to cancel</t>
  </si>
  <si>
    <t xml:space="preserve">Promoter holdco merger with cancellation (Motherson-style)</t>
  </si>
  <si>
    <t xml:space="preserve">ListCo shares (mn)</t>
  </si>
  <si>
    <t xml:space="preserve">  held by HoldCo</t>
  </si>
  <si>
    <t xml:space="preserve">  held by Public</t>
  </si>
  <si>
    <t xml:space="preserve">ListCo value per share (₹)</t>
  </si>
  <si>
    <t xml:space="preserve">HoldCo shares (mn), 100% owned by Promoter</t>
  </si>
  <si>
    <t xml:space="preserve">HoldCo other assets (₹ mn)</t>
  </si>
  <si>
    <t xml:space="preserve">HoldCo net debt (₹ mn)</t>
  </si>
  <si>
    <t xml:space="preserve">Its ListCo shares + other assets − debt</t>
  </si>
  <si>
    <t xml:space="preserve">HoldCo ₹/share ÷ ListCo ₹/share</t>
  </si>
  <si>
    <t xml:space="preserve">HoldCo's own ListCo shares</t>
  </si>
  <si>
    <t xml:space="preserve">Promoter owned 100% of HoldCo</t>
  </si>
  <si>
    <t xml:space="preserve">Unchanged = fair</t>
  </si>
  <si>
    <t xml:space="preserve">Mirror demerger (1 new for every 4)</t>
  </si>
  <si>
    <t xml:space="preserve">  Promoter</t>
  </si>
  <si>
    <t xml:space="preserve">  FIIs</t>
  </si>
  <si>
    <t xml:space="preserve">  Public</t>
  </si>
  <si>
    <t xml:space="preserve">New shares (numerator)</t>
  </si>
  <si>
    <t xml:space="preserve">… per parent shares (denominator)</t>
  </si>
  <si>
    <t xml:space="preserve">Same as % of parent</t>
  </si>
  <si>
    <t xml:space="preserve">Demerger where parent keeps 40% (ITC Hotels-style)</t>
  </si>
  <si>
    <t xml:space="preserve">  Institutions</t>
  </si>
  <si>
    <t xml:space="preserve">  Retail</t>
  </si>
  <si>
    <t xml:space="preserve">Parent retains % of new co</t>
  </si>
  <si>
    <t xml:space="preserve">Holders get 60%, so total = holders ÷ 60%</t>
  </si>
  <si>
    <t xml:space="preserve">Direct + 70% × parent's 40% = 70% (unchanged)</t>
  </si>
  <si>
    <t xml:space="preserve">Ex-date price maths</t>
  </si>
  <si>
    <t xml:space="preserve">Parent price before ex-date (₹)</t>
  </si>
  <si>
    <t xml:space="preserve">Demerged business value per parent share (₹)</t>
  </si>
  <si>
    <t xml:space="preserve">New shares per parent share</t>
  </si>
  <si>
    <t xml:space="preserve">New co listing price (₹)</t>
  </si>
  <si>
    <t xml:space="preserve">Parent ex-price + new co shares × listing price</t>
  </si>
  <si>
    <t xml:space="preserve">Motherson actual: post-merger family stake</t>
  </si>
  <si>
    <t xml:space="preserve">MSSL shares (mn)</t>
  </si>
  <si>
    <t xml:space="preserve">SAMIL's MSSL shares (mn)</t>
  </si>
  <si>
    <t xml:space="preserve">Family direct MSSL shares (mn)</t>
  </si>
  <si>
    <t xml:space="preserve">SAMIL shares (mn)</t>
  </si>
  <si>
    <t xml:space="preserve">Expected 4,517.6</t>
  </si>
  <si>
    <t xml:space="preserve">Expected ~50.4%</t>
  </si>
  <si>
    <t xml:space="preserve">Order matters (100-share toy)</t>
  </si>
  <si>
    <t xml:space="preserve">MSSL shares</t>
  </si>
  <si>
    <t xml:space="preserve">  held by SAMIL</t>
  </si>
  <si>
    <t xml:space="preserve">  SWS</t>
  </si>
  <si>
    <t xml:space="preserve">  Family direct</t>
  </si>
  <si>
    <t xml:space="preserve">SAMIL other assets, in MSSL-share equivalents</t>
  </si>
  <si>
    <t xml:space="preserve">SAMIL worth 33 + 43 = 76 MSSL shares</t>
  </si>
  <si>
    <t xml:space="preserve">Wiring co mirrors merged company</t>
  </si>
  <si>
    <t xml:space="preserve">Wiring co mirrors old MSSL</t>
  </si>
  <si>
    <t xml:space="preserve">Value leakage when the ratio is too high (use P2 numbers)</t>
  </si>
  <si>
    <t xml:space="preserve">HoldCo shares (mn)</t>
  </si>
  <si>
    <t xml:space="preserve">Ratio actually agreed</t>
  </si>
  <si>
    <t xml:space="preserve">Merged value ÷ shares</t>
  </si>
  <si>
    <t xml:space="preserve">Negative = leakage to promoter</t>
  </si>
  <si>
    <t xml:space="preserve">Acquirer PAT before (₹ cr)</t>
  </si>
  <si>
    <t xml:space="preserve">Acquirer shares before (mn)</t>
  </si>
  <si>
    <t xml:space="preserve">Merged PAT (₹ cr)</t>
  </si>
  <si>
    <t xml:space="preserve">₹ cr ÷ mn shares × 10</t>
  </si>
  <si>
    <t xml:space="preserve">Motherson Q3 FY21: +8%</t>
  </si>
  <si>
    <t xml:space="preserve">Scheme vote tests</t>
  </si>
  <si>
    <t xml:space="preserve">All votes FOR (mn shares)</t>
  </si>
  <si>
    <t xml:space="preserve">All votes AGAINST (mn shares)</t>
  </si>
  <si>
    <t xml:space="preserve">Public votes FOR (mn shares)</t>
  </si>
  <si>
    <t xml:space="preserve">Public votes AGAINST (mn shares)</t>
  </si>
  <si>
    <t xml:space="preserve">Companies Act s.230(6)</t>
  </si>
  <si>
    <t xml:space="preserve">SEBI majority of minority</t>
  </si>
  <si>
    <t xml:space="preserve">Public stake in MSSL before</t>
  </si>
  <si>
    <t xml:space="preserve">MSSL stake in SMRP BV before</t>
  </si>
  <si>
    <t xml:space="preserve">Public stake in merged company after</t>
  </si>
  <si>
    <t xml:space="preserve">Merged company stake in SMRP BV after</t>
  </si>
  <si>
    <t xml:space="preserve">Positive = public owns more of SMRP BV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</si>
</sst>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₹#,##0.00;&quot;(₹&quot;#,##0.00\);\-"/>
    <numFmt numFmtId="166" formatCode="0.000"/>
    <numFmt numFmtId="167" formatCode="#,##0.0;\(#,##0.0\);\-"/>
    <numFmt numFmtId="168" formatCode="0.0%;\(0.0%\);\-"/>
    <numFmt numFmtId="169" formatCode="\₹#,##0;&quot;(₹&quot;#,##0\);\-"/>
    <numFmt numFmtId="170" formatCode="0.00%;\(0.00%\);\-"/>
    <numFmt numFmtId="171" formatCode="#,##0;\(#,##0\);\-"/>
    <numFmt numFmtId="172" formatCode="#,##0.00;\(#,##0.0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8EEF5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1F3A5F"/>
        <bgColor rgb="FF333333"/>
      </patternFill>
    </fill>
    <fill>
      <patternFill patternType="solid">
        <fgColor rgb="FFF2F2F2"/>
        <bgColor rgb="FFE8EE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8EE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70"/>
    <col collapsed="false" customWidth="true" hidden="false" outlineLevel="0" max="4" min="4" style="0" width="14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/>
    </row>
    <row r="6" customFormat="false" ht="31.5" hidden="false" customHeight="true" outlineLevel="0" collapsed="false">
      <c r="B6" s="5" t="s">
        <v>3</v>
      </c>
      <c r="C6" s="6" t="s">
        <v>4</v>
      </c>
    </row>
    <row r="7" customFormat="false" ht="31.5" hidden="false" customHeight="true" outlineLevel="0" collapsed="false">
      <c r="B7" s="5" t="s">
        <v>5</v>
      </c>
      <c r="C7" s="6" t="s">
        <v>6</v>
      </c>
    </row>
    <row r="8" customFormat="false" ht="31.5" hidden="false" customHeight="true" outlineLevel="0" collapsed="false">
      <c r="B8" s="5" t="s">
        <v>7</v>
      </c>
      <c r="C8" s="6" t="s">
        <v>8</v>
      </c>
    </row>
    <row r="9" customFormat="false" ht="31.5" hidden="false" customHeight="true" outlineLevel="0" collapsed="false">
      <c r="B9" s="5" t="s">
        <v>9</v>
      </c>
      <c r="C9" s="6" t="s">
        <v>10</v>
      </c>
    </row>
    <row r="10" customFormat="false" ht="31.5" hidden="false" customHeight="true" outlineLevel="0" collapsed="false">
      <c r="B10" s="5" t="s">
        <v>11</v>
      </c>
      <c r="C10" s="6" t="s">
        <v>12</v>
      </c>
    </row>
    <row r="12" customFormat="false" ht="15" hidden="false" customHeight="false" outlineLevel="0" collapsed="false">
      <c r="B12" s="3" t="s">
        <v>13</v>
      </c>
      <c r="C12" s="4"/>
    </row>
    <row r="13" customFormat="false" ht="15" hidden="false" customHeight="false" outlineLevel="0" collapsed="false">
      <c r="B13" s="7" t="s">
        <v>14</v>
      </c>
      <c r="C13" s="8" t="s">
        <v>15</v>
      </c>
    </row>
    <row r="14" customFormat="false" ht="15" hidden="false" customHeight="false" outlineLevel="0" collapsed="false">
      <c r="B14" s="8" t="s">
        <v>16</v>
      </c>
      <c r="C14" s="8" t="s">
        <v>17</v>
      </c>
    </row>
    <row r="15" customFormat="false" ht="15" hidden="false" customHeight="false" outlineLevel="0" collapsed="false">
      <c r="B15" s="9" t="s">
        <v>18</v>
      </c>
      <c r="C15" s="8" t="s">
        <v>19</v>
      </c>
    </row>
    <row r="16" customFormat="false" ht="15" hidden="false" customHeight="false" outlineLevel="0" collapsed="false">
      <c r="B16" s="10" t="s">
        <v>20</v>
      </c>
      <c r="C16" s="8" t="s">
        <v>21</v>
      </c>
    </row>
    <row r="18" customFormat="false" ht="15" hidden="false" customHeight="false" outlineLevel="0" collapsed="false">
      <c r="B18" s="3" t="s">
        <v>22</v>
      </c>
      <c r="C18" s="4"/>
    </row>
    <row r="19" customFormat="false" ht="30" hidden="false" customHeight="true" outlineLevel="0" collapsed="false">
      <c r="B19" s="5" t="s">
        <v>23</v>
      </c>
      <c r="C19" s="6" t="s">
        <v>24</v>
      </c>
    </row>
    <row r="20" customFormat="false" ht="30" hidden="false" customHeight="true" outlineLevel="0" collapsed="false">
      <c r="B20" s="5" t="s">
        <v>25</v>
      </c>
      <c r="C20" s="6" t="s">
        <v>26</v>
      </c>
    </row>
    <row r="21" customFormat="false" ht="30" hidden="false" customHeight="true" outlineLevel="0" collapsed="false">
      <c r="B21" s="5" t="s">
        <v>27</v>
      </c>
      <c r="C21" s="6" t="s">
        <v>28</v>
      </c>
    </row>
    <row r="22" customFormat="false" ht="30" hidden="false" customHeight="true" outlineLevel="0" collapsed="false">
      <c r="B22" s="5" t="s">
        <v>29</v>
      </c>
      <c r="C22" s="6" t="s">
        <v>30</v>
      </c>
    </row>
    <row r="23" customFormat="false" ht="30" hidden="false" customHeight="true" outlineLevel="0" collapsed="false">
      <c r="B23" s="5" t="s">
        <v>31</v>
      </c>
      <c r="C23" s="6" t="s">
        <v>32</v>
      </c>
    </row>
    <row r="24" customFormat="false" ht="30" hidden="false" customHeight="true" outlineLevel="0" collapsed="false">
      <c r="B24" s="5" t="s">
        <v>33</v>
      </c>
      <c r="C24" s="6" t="s">
        <v>34</v>
      </c>
    </row>
    <row r="26" customFormat="false" ht="15" hidden="false" customHeight="false" outlineLevel="0" collapsed="false">
      <c r="B26" s="2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7" min="3" style="0" width="16"/>
    <col collapsed="false" customWidth="true" hidden="false" outlineLevel="0" max="8" min="8" style="0" width="40"/>
  </cols>
  <sheetData>
    <row r="2" customFormat="false" ht="19.7" hidden="false" customHeight="false" outlineLevel="0" collapsed="false">
      <c r="B2" s="1" t="s">
        <v>36</v>
      </c>
    </row>
    <row r="3" customFormat="false" ht="15" hidden="false" customHeight="false" outlineLevel="0" collapsed="false">
      <c r="B3" s="2" t="s">
        <v>37</v>
      </c>
    </row>
    <row r="5" customFormat="false" ht="15" hidden="false" customHeight="false" outlineLevel="0" collapsed="false">
      <c r="B5" s="3" t="s">
        <v>38</v>
      </c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B6" s="8" t="s">
        <v>39</v>
      </c>
      <c r="C6" s="7" t="s">
        <v>40</v>
      </c>
    </row>
    <row r="7" customFormat="false" ht="15" hidden="false" customHeight="false" outlineLevel="0" collapsed="false">
      <c r="B7" s="8" t="s">
        <v>41</v>
      </c>
      <c r="C7" s="7" t="s">
        <v>42</v>
      </c>
    </row>
    <row r="8" customFormat="false" ht="15" hidden="false" customHeight="false" outlineLevel="0" collapsed="false">
      <c r="B8" s="8" t="s">
        <v>43</v>
      </c>
      <c r="C8" s="11" t="n">
        <v>101.11</v>
      </c>
    </row>
    <row r="9" customFormat="false" ht="15" hidden="false" customHeight="false" outlineLevel="0" collapsed="false">
      <c r="B9" s="8" t="s">
        <v>44</v>
      </c>
      <c r="C9" s="11" t="n">
        <v>516.03</v>
      </c>
    </row>
    <row r="10" customFormat="false" ht="15" hidden="false" customHeight="false" outlineLevel="0" collapsed="false">
      <c r="B10" s="8" t="s">
        <v>45</v>
      </c>
      <c r="C10" s="12" t="n">
        <v>5.1</v>
      </c>
      <c r="H10" s="2" t="s">
        <v>46</v>
      </c>
    </row>
    <row r="11" customFormat="false" ht="15" hidden="false" customHeight="false" outlineLevel="0" collapsed="false">
      <c r="B11" s="5" t="s">
        <v>47</v>
      </c>
      <c r="C11" s="13" t="n">
        <f aca="false">IF(C10&lt;&gt;"",C10,IFERROR(C9/C8,0))</f>
        <v>5.1</v>
      </c>
    </row>
    <row r="12" customFormat="false" ht="15" hidden="false" customHeight="false" outlineLevel="0" collapsed="false">
      <c r="B12" s="8" t="s">
        <v>48</v>
      </c>
      <c r="C12" s="14" t="n">
        <f aca="false">IFERROR(C9/C8,0)</f>
        <v>5.10364949065374</v>
      </c>
    </row>
    <row r="14" customFormat="false" ht="15" hidden="false" customHeight="false" outlineLevel="0" collapsed="false">
      <c r="B14" s="3" t="s">
        <v>49</v>
      </c>
      <c r="C14" s="4"/>
      <c r="D14" s="4"/>
      <c r="E14" s="4"/>
      <c r="F14" s="4"/>
      <c r="G14" s="4"/>
      <c r="H14" s="4"/>
    </row>
    <row r="15" customFormat="false" ht="26.85" hidden="false" customHeight="false" outlineLevel="0" collapsed="false">
      <c r="B15" s="15" t="s">
        <v>50</v>
      </c>
      <c r="C15" s="15" t="s">
        <v>51</v>
      </c>
      <c r="D15" s="15" t="s">
        <v>52</v>
      </c>
      <c r="E15" s="15" t="s">
        <v>53</v>
      </c>
    </row>
    <row r="16" customFormat="false" ht="15" hidden="false" customHeight="false" outlineLevel="0" collapsed="false">
      <c r="B16" s="16" t="s">
        <v>42</v>
      </c>
      <c r="C16" s="17" t="n">
        <v>1055.75</v>
      </c>
      <c r="D16" s="16" t="s">
        <v>54</v>
      </c>
      <c r="E16" s="18" t="n">
        <f aca="false">IFERROR(C16/$C$22,0)</f>
        <v>0.334316041470072</v>
      </c>
    </row>
    <row r="17" customFormat="false" ht="15" hidden="false" customHeight="false" outlineLevel="0" collapsed="false">
      <c r="B17" s="16" t="s">
        <v>55</v>
      </c>
      <c r="C17" s="17" t="n">
        <v>800.3</v>
      </c>
      <c r="D17" s="16" t="s">
        <v>56</v>
      </c>
      <c r="E17" s="18" t="n">
        <f aca="false">IFERROR(C17/$C$22,0)</f>
        <v>0.25342470091262</v>
      </c>
    </row>
    <row r="18" customFormat="false" ht="15" hidden="false" customHeight="false" outlineLevel="0" collapsed="false">
      <c r="B18" s="16" t="s">
        <v>57</v>
      </c>
      <c r="C18" s="17" t="n">
        <v>93.24</v>
      </c>
      <c r="D18" s="16" t="s">
        <v>56</v>
      </c>
      <c r="E18" s="18" t="n">
        <f aca="false">IFERROR(C18/$C$22,0)</f>
        <v>0.0295255768000659</v>
      </c>
    </row>
    <row r="19" customFormat="false" ht="15" hidden="false" customHeight="false" outlineLevel="0" collapsed="false">
      <c r="B19" s="16" t="s">
        <v>58</v>
      </c>
      <c r="C19" s="17" t="n">
        <v>1208.65</v>
      </c>
      <c r="D19" s="16" t="s">
        <v>56</v>
      </c>
      <c r="E19" s="18" t="n">
        <f aca="false">IFERROR(C19/$C$22,0)</f>
        <v>0.382733680817242</v>
      </c>
    </row>
    <row r="20" customFormat="false" ht="15" hidden="false" customHeight="false" outlineLevel="0" collapsed="false">
      <c r="B20" s="16"/>
      <c r="C20" s="17"/>
      <c r="D20" s="16" t="s">
        <v>56</v>
      </c>
      <c r="E20" s="18" t="n">
        <f aca="false">IFERROR(C20/$C$22,0)</f>
        <v>0</v>
      </c>
    </row>
    <row r="21" customFormat="false" ht="15" hidden="false" customHeight="false" outlineLevel="0" collapsed="false">
      <c r="B21" s="16"/>
      <c r="C21" s="17"/>
      <c r="D21" s="16" t="s">
        <v>56</v>
      </c>
      <c r="E21" s="18" t="n">
        <f aca="false">IFERROR(C21/$C$22,0)</f>
        <v>0</v>
      </c>
    </row>
    <row r="22" customFormat="false" ht="15" hidden="false" customHeight="false" outlineLevel="0" collapsed="false">
      <c r="B22" s="19" t="s">
        <v>59</v>
      </c>
      <c r="C22" s="20" t="n">
        <f aca="false">SUM(C16:C21)</f>
        <v>3157.94</v>
      </c>
      <c r="E22" s="21" t="n">
        <f aca="false">SUM(E16:E21)</f>
        <v>1</v>
      </c>
    </row>
    <row r="24" customFormat="false" ht="15" hidden="false" customHeight="false" outlineLevel="0" collapsed="false">
      <c r="B24" s="3" t="s">
        <v>60</v>
      </c>
      <c r="C24" s="4"/>
      <c r="D24" s="4"/>
      <c r="E24" s="4"/>
      <c r="F24" s="4"/>
      <c r="G24" s="4"/>
      <c r="H24" s="4"/>
    </row>
    <row r="25" customFormat="false" ht="15" hidden="false" customHeight="false" outlineLevel="0" collapsed="false">
      <c r="B25" s="15" t="s">
        <v>50</v>
      </c>
      <c r="C25" s="15" t="s">
        <v>51</v>
      </c>
      <c r="D25" s="15" t="s">
        <v>53</v>
      </c>
    </row>
    <row r="26" customFormat="false" ht="15" hidden="false" customHeight="false" outlineLevel="0" collapsed="false">
      <c r="B26" s="16" t="s">
        <v>61</v>
      </c>
      <c r="C26" s="17" t="n">
        <v>428.15</v>
      </c>
      <c r="D26" s="18" t="n">
        <f aca="false">IFERROR(C26/$C$31,0)</f>
        <v>0.90399476373464</v>
      </c>
    </row>
    <row r="27" customFormat="false" ht="15" hidden="false" customHeight="false" outlineLevel="0" collapsed="false">
      <c r="B27" s="16" t="s">
        <v>62</v>
      </c>
      <c r="C27" s="17" t="n">
        <v>45.47</v>
      </c>
      <c r="D27" s="18" t="n">
        <f aca="false">IFERROR(C27/$C$31,0)</f>
        <v>0.0960052362653604</v>
      </c>
    </row>
    <row r="28" customFormat="false" ht="15" hidden="false" customHeight="false" outlineLevel="0" collapsed="false">
      <c r="B28" s="16"/>
      <c r="C28" s="17"/>
      <c r="D28" s="18" t="n">
        <f aca="false">IFERROR(C28/$C$31,0)</f>
        <v>0</v>
      </c>
    </row>
    <row r="29" customFormat="false" ht="15" hidden="false" customHeight="false" outlineLevel="0" collapsed="false">
      <c r="B29" s="16"/>
      <c r="C29" s="17"/>
      <c r="D29" s="18" t="n">
        <f aca="false">IFERROR(C29/$C$31,0)</f>
        <v>0</v>
      </c>
    </row>
    <row r="30" customFormat="false" ht="15" hidden="false" customHeight="false" outlineLevel="0" collapsed="false">
      <c r="B30" s="16"/>
      <c r="C30" s="17"/>
      <c r="D30" s="18" t="n">
        <f aca="false">IFERROR(C30/$C$31,0)</f>
        <v>0</v>
      </c>
    </row>
    <row r="31" customFormat="false" ht="15" hidden="false" customHeight="false" outlineLevel="0" collapsed="false">
      <c r="B31" s="19" t="s">
        <v>59</v>
      </c>
      <c r="C31" s="20" t="n">
        <f aca="false">SUM(C26:C30)</f>
        <v>473.62</v>
      </c>
      <c r="D31" s="21" t="n">
        <f aca="false">SUM(D26:D30)</f>
        <v>1</v>
      </c>
    </row>
    <row r="33" customFormat="false" ht="15" hidden="false" customHeight="false" outlineLevel="0" collapsed="false">
      <c r="B33" s="3" t="s">
        <v>63</v>
      </c>
      <c r="C33" s="4"/>
      <c r="D33" s="4"/>
      <c r="E33" s="4"/>
      <c r="F33" s="4"/>
      <c r="G33" s="4"/>
      <c r="H33" s="4"/>
    </row>
    <row r="34" customFormat="false" ht="15" hidden="false" customHeight="false" outlineLevel="0" collapsed="false">
      <c r="B34" s="8" t="s">
        <v>64</v>
      </c>
      <c r="C34" s="22" t="n">
        <f aca="false">C22</f>
        <v>3157.94</v>
      </c>
    </row>
    <row r="35" customFormat="false" ht="15" hidden="false" customHeight="false" outlineLevel="0" collapsed="false">
      <c r="B35" s="8" t="s">
        <v>65</v>
      </c>
      <c r="C35" s="22" t="n">
        <f aca="false">SUMIF(D16:D21,"Y",C16:C21)*-1</f>
        <v>-1055.75</v>
      </c>
    </row>
    <row r="36" customFormat="false" ht="15" hidden="false" customHeight="false" outlineLevel="0" collapsed="false">
      <c r="B36" s="8" t="s">
        <v>66</v>
      </c>
      <c r="C36" s="22" t="n">
        <f aca="false">C31*C11</f>
        <v>2415.462</v>
      </c>
    </row>
    <row r="37" customFormat="false" ht="15" hidden="false" customHeight="false" outlineLevel="0" collapsed="false">
      <c r="B37" s="5" t="s">
        <v>67</v>
      </c>
      <c r="C37" s="23" t="n">
        <f aca="false">SUM(C34:C36)</f>
        <v>4517.652</v>
      </c>
    </row>
    <row r="38" customFormat="false" ht="15" hidden="false" customHeight="false" outlineLevel="0" collapsed="false">
      <c r="B38" s="8" t="s">
        <v>68</v>
      </c>
      <c r="C38" s="24" t="n">
        <f aca="false">IFERROR((C37-C22)/C22,0)</f>
        <v>0.430569295173436</v>
      </c>
    </row>
    <row r="40" customFormat="false" ht="15" hidden="false" customHeight="false" outlineLevel="0" collapsed="false">
      <c r="B40" s="3" t="s">
        <v>69</v>
      </c>
      <c r="C40" s="4"/>
      <c r="D40" s="4"/>
      <c r="E40" s="4"/>
      <c r="F40" s="4"/>
      <c r="G40" s="4"/>
      <c r="H40" s="4"/>
    </row>
    <row r="41" customFormat="false" ht="26.85" hidden="false" customHeight="false" outlineLevel="0" collapsed="false">
      <c r="B41" s="15" t="s">
        <v>50</v>
      </c>
      <c r="C41" s="15" t="s">
        <v>70</v>
      </c>
      <c r="D41" s="15" t="s">
        <v>71</v>
      </c>
      <c r="E41" s="15" t="s">
        <v>72</v>
      </c>
    </row>
    <row r="42" customFormat="false" ht="15" hidden="false" customHeight="false" outlineLevel="0" collapsed="false">
      <c r="B42" s="25" t="str">
        <f aca="false">IF(B16="","",B16)</f>
        <v>SAMIL</v>
      </c>
      <c r="C42" s="26" t="n">
        <f aca="false">IF(B16="",0,IF(D16="Y",0,C16))</f>
        <v>0</v>
      </c>
      <c r="D42" s="18" t="n">
        <f aca="false">IFERROR(C42/$C$37,0)</f>
        <v>0</v>
      </c>
      <c r="E42" s="25" t="str">
        <f aca="false">IF(B16="","",IF(D16="Y","Cancelled","Acquirer holder"))</f>
        <v>Cancelled</v>
      </c>
    </row>
    <row r="43" customFormat="false" ht="15" hidden="false" customHeight="false" outlineLevel="0" collapsed="false">
      <c r="B43" s="25" t="str">
        <f aca="false">IF(B17="","",B17)</f>
        <v>SWS</v>
      </c>
      <c r="C43" s="26" t="n">
        <f aca="false">IF(B17="",0,IF(D17="Y",0,C17))</f>
        <v>800.3</v>
      </c>
      <c r="D43" s="18" t="n">
        <f aca="false">IFERROR(C43/$C$37,0)</f>
        <v>0.177149545826018</v>
      </c>
      <c r="E43" s="25" t="str">
        <f aca="false">IF(B17="","",IF(D17="Y","Cancelled","Acquirer holder"))</f>
        <v>Acquirer holder</v>
      </c>
    </row>
    <row r="44" customFormat="false" ht="15" hidden="false" customHeight="false" outlineLevel="0" collapsed="false">
      <c r="B44" s="25" t="str">
        <f aca="false">IF(B18="","",B18)</f>
        <v>Family (direct)</v>
      </c>
      <c r="C44" s="26" t="n">
        <f aca="false">IF(B18="",0,IF(D18="Y",0,C18))</f>
        <v>93.24</v>
      </c>
      <c r="D44" s="18" t="n">
        <f aca="false">IFERROR(C44/$C$37,0)</f>
        <v>0.0206390399260501</v>
      </c>
      <c r="E44" s="25" t="str">
        <f aca="false">IF(B18="","",IF(D18="Y","Cancelled","Acquirer holder"))</f>
        <v>Acquirer holder</v>
      </c>
    </row>
    <row r="45" customFormat="false" ht="15" hidden="false" customHeight="false" outlineLevel="0" collapsed="false">
      <c r="B45" s="25" t="str">
        <f aca="false">IF(B19="","",B19)</f>
        <v>Public</v>
      </c>
      <c r="C45" s="26" t="n">
        <f aca="false">IF(B19="",0,IF(D19="Y",0,C19))</f>
        <v>1208.65</v>
      </c>
      <c r="D45" s="18" t="n">
        <f aca="false">IFERROR(C45/$C$37,0)</f>
        <v>0.267539420920425</v>
      </c>
      <c r="E45" s="25" t="str">
        <f aca="false">IF(B19="","",IF(D19="Y","Cancelled","Acquirer holder"))</f>
        <v>Acquirer holder</v>
      </c>
    </row>
    <row r="46" customFormat="false" ht="15" hidden="false" customHeight="false" outlineLevel="0" collapsed="false">
      <c r="B46" s="25" t="str">
        <f aca="false">IF(B20="","",B20)</f>
        <v/>
      </c>
      <c r="C46" s="26" t="n">
        <f aca="false">IF(B20="",0,IF(D20="Y",0,C20))</f>
        <v>0</v>
      </c>
      <c r="D46" s="18" t="n">
        <f aca="false">IFERROR(C46/$C$37,0)</f>
        <v>0</v>
      </c>
      <c r="E46" s="25" t="str">
        <f aca="false">IF(B20="","",IF(D20="Y","Cancelled","Acquirer holder"))</f>
        <v/>
      </c>
    </row>
    <row r="47" customFormat="false" ht="15" hidden="false" customHeight="false" outlineLevel="0" collapsed="false">
      <c r="B47" s="25" t="str">
        <f aca="false">IF(B21="","",B21)</f>
        <v/>
      </c>
      <c r="C47" s="26" t="n">
        <f aca="false">IF(B21="",0,IF(D21="Y",0,C21))</f>
        <v>0</v>
      </c>
      <c r="D47" s="18" t="n">
        <f aca="false">IFERROR(C47/$C$37,0)</f>
        <v>0</v>
      </c>
      <c r="E47" s="25" t="str">
        <f aca="false">IF(B21="","",IF(D21="Y","Cancelled","Acquirer holder"))</f>
        <v/>
      </c>
    </row>
    <row r="48" customFormat="false" ht="15" hidden="false" customHeight="false" outlineLevel="0" collapsed="false">
      <c r="B48" s="25" t="str">
        <f aca="false">IF(B26="","",B26)</f>
        <v>Family</v>
      </c>
      <c r="C48" s="26" t="n">
        <f aca="false">C26*$C$11</f>
        <v>2183.565</v>
      </c>
      <c r="D48" s="18" t="n">
        <f aca="false">IFERROR(C48/$C$37,0)</f>
        <v>0.483340682283629</v>
      </c>
      <c r="E48" s="25" t="str">
        <f aca="false">IF(B26="","","New shares (target holder)")</f>
        <v>New shares (target holder)</v>
      </c>
    </row>
    <row r="49" customFormat="false" ht="15" hidden="false" customHeight="false" outlineLevel="0" collapsed="false">
      <c r="B49" s="25" t="str">
        <f aca="false">IF(B27="","",B27)</f>
        <v>Sojitz + staff</v>
      </c>
      <c r="C49" s="26" t="n">
        <f aca="false">C27*$C$11</f>
        <v>231.897</v>
      </c>
      <c r="D49" s="18" t="n">
        <f aca="false">IFERROR(C49/$C$37,0)</f>
        <v>0.0513313110438785</v>
      </c>
      <c r="E49" s="25" t="str">
        <f aca="false">IF(B27="","","New shares (target holder)")</f>
        <v>New shares (target holder)</v>
      </c>
    </row>
    <row r="50" customFormat="false" ht="15" hidden="false" customHeight="false" outlineLevel="0" collapsed="false">
      <c r="B50" s="25" t="str">
        <f aca="false">IF(B28="","",B28)</f>
        <v/>
      </c>
      <c r="C50" s="26" t="n">
        <f aca="false">C28*$C$11</f>
        <v>0</v>
      </c>
      <c r="D50" s="18" t="n">
        <f aca="false">IFERROR(C50/$C$37,0)</f>
        <v>0</v>
      </c>
      <c r="E50" s="25" t="str">
        <f aca="false">IF(B28="","","New shares (target holder)")</f>
        <v/>
      </c>
    </row>
    <row r="51" customFormat="false" ht="15" hidden="false" customHeight="false" outlineLevel="0" collapsed="false">
      <c r="B51" s="25" t="str">
        <f aca="false">IF(B29="","",B29)</f>
        <v/>
      </c>
      <c r="C51" s="26" t="n">
        <f aca="false">C29*$C$11</f>
        <v>0</v>
      </c>
      <c r="D51" s="18" t="n">
        <f aca="false">IFERROR(C51/$C$37,0)</f>
        <v>0</v>
      </c>
      <c r="E51" s="25" t="str">
        <f aca="false">IF(B29="","","New shares (target holder)")</f>
        <v/>
      </c>
    </row>
    <row r="52" customFormat="false" ht="15" hidden="false" customHeight="false" outlineLevel="0" collapsed="false">
      <c r="B52" s="25" t="str">
        <f aca="false">IF(B30="","",B30)</f>
        <v/>
      </c>
      <c r="C52" s="26" t="n">
        <f aca="false">C30*$C$11</f>
        <v>0</v>
      </c>
      <c r="D52" s="18" t="n">
        <f aca="false">IFERROR(C52/$C$37,0)</f>
        <v>0</v>
      </c>
      <c r="E52" s="25" t="str">
        <f aca="false">IF(B30="","","New shares (target holder)")</f>
        <v/>
      </c>
    </row>
    <row r="53" customFormat="false" ht="15" hidden="false" customHeight="false" outlineLevel="0" collapsed="false">
      <c r="B53" s="19" t="s">
        <v>59</v>
      </c>
      <c r="C53" s="20" t="n">
        <f aca="false">SUM(C42:C52)</f>
        <v>4517.652</v>
      </c>
      <c r="D53" s="21" t="n">
        <f aca="false">SUM(D42:D52)</f>
        <v>1</v>
      </c>
    </row>
    <row r="55" customFormat="false" ht="15" hidden="false" customHeight="false" outlineLevel="0" collapsed="false">
      <c r="B55" s="3" t="s">
        <v>73</v>
      </c>
      <c r="C55" s="4"/>
      <c r="D55" s="4"/>
      <c r="E55" s="4"/>
      <c r="F55" s="4"/>
      <c r="G55" s="4"/>
      <c r="H55" s="4"/>
    </row>
    <row r="56" customFormat="false" ht="26.85" hidden="false" customHeight="false" outlineLevel="0" collapsed="false">
      <c r="B56" s="15" t="s">
        <v>74</v>
      </c>
      <c r="C56" s="15" t="s">
        <v>70</v>
      </c>
      <c r="D56" s="15" t="s">
        <v>71</v>
      </c>
    </row>
    <row r="57" customFormat="false" ht="15" hidden="false" customHeight="false" outlineLevel="0" collapsed="false">
      <c r="B57" s="16" t="s">
        <v>61</v>
      </c>
      <c r="C57" s="26" t="n">
        <f aca="false">SUMIF($B$42:$B$52,B57,$C$42:$C$52)</f>
        <v>2183.565</v>
      </c>
      <c r="D57" s="18" t="n">
        <f aca="false">IFERROR(C57/$C$37,0)</f>
        <v>0.483340682283629</v>
      </c>
    </row>
    <row r="58" customFormat="false" ht="15" hidden="false" customHeight="false" outlineLevel="0" collapsed="false">
      <c r="B58" s="16" t="s">
        <v>57</v>
      </c>
      <c r="C58" s="26" t="n">
        <f aca="false">SUMIF($B$42:$B$52,B58,$C$42:$C$52)</f>
        <v>93.24</v>
      </c>
      <c r="D58" s="18" t="n">
        <f aca="false">IFERROR(C58/$C$37,0)</f>
        <v>0.0206390399260501</v>
      </c>
    </row>
    <row r="59" customFormat="false" ht="15" hidden="false" customHeight="false" outlineLevel="0" collapsed="false">
      <c r="B59" s="16" t="s">
        <v>58</v>
      </c>
      <c r="C59" s="26" t="n">
        <f aca="false">SUMIF($B$42:$B$52,B59,$C$42:$C$52)</f>
        <v>1208.65</v>
      </c>
      <c r="D59" s="18" t="n">
        <f aca="false">IFERROR(C59/$C$37,0)</f>
        <v>0.267539420920425</v>
      </c>
    </row>
    <row r="60" customFormat="false" ht="15" hidden="false" customHeight="false" outlineLevel="0" collapsed="false">
      <c r="B60" s="16" t="s">
        <v>55</v>
      </c>
      <c r="C60" s="26" t="n">
        <f aca="false">SUMIF($B$42:$B$52,B60,$C$42:$C$52)</f>
        <v>800.3</v>
      </c>
      <c r="D60" s="18" t="n">
        <f aca="false">IFERROR(C60/$C$37,0)</f>
        <v>0.177149545826018</v>
      </c>
    </row>
    <row r="61" customFormat="false" ht="15" hidden="false" customHeight="false" outlineLevel="0" collapsed="false">
      <c r="B61" s="16" t="s">
        <v>62</v>
      </c>
      <c r="C61" s="26" t="n">
        <f aca="false">SUMIF($B$42:$B$52,B61,$C$42:$C$52)</f>
        <v>231.897</v>
      </c>
      <c r="D61" s="18" t="n">
        <f aca="false">IFERROR(C61/$C$37,0)</f>
        <v>0.0513313110438785</v>
      </c>
    </row>
    <row r="62" customFormat="false" ht="15" hidden="false" customHeight="false" outlineLevel="0" collapsed="false">
      <c r="B62" s="5" t="s">
        <v>75</v>
      </c>
      <c r="C62" s="23" t="n">
        <f aca="false">C57+C58</f>
        <v>2276.805</v>
      </c>
      <c r="D62" s="27" t="n">
        <f aca="false">IFERROR(C62/$C$37,0)</f>
        <v>0.503979722209679</v>
      </c>
    </row>
    <row r="64" customFormat="false" ht="15" hidden="false" customHeight="false" outlineLevel="0" collapsed="false">
      <c r="B64" s="3" t="s">
        <v>76</v>
      </c>
      <c r="C64" s="4"/>
      <c r="D64" s="4"/>
      <c r="E64" s="4"/>
      <c r="F64" s="4"/>
      <c r="G64" s="4"/>
      <c r="H64" s="4"/>
    </row>
    <row r="65" customFormat="false" ht="15" hidden="false" customHeight="false" outlineLevel="0" collapsed="false">
      <c r="B65" s="8" t="s">
        <v>77</v>
      </c>
      <c r="C65" s="28" t="n">
        <f aca="false">C22*C8/10</f>
        <v>31929.93134</v>
      </c>
    </row>
    <row r="66" customFormat="false" ht="15" hidden="false" customHeight="false" outlineLevel="0" collapsed="false">
      <c r="B66" s="8" t="s">
        <v>78</v>
      </c>
      <c r="C66" s="28" t="n">
        <f aca="false">C31*C9/10</f>
        <v>24440.21286</v>
      </c>
    </row>
    <row r="67" customFormat="false" ht="15" hidden="false" customHeight="false" outlineLevel="0" collapsed="false">
      <c r="B67" s="8" t="s">
        <v>79</v>
      </c>
      <c r="C67" s="28" t="n">
        <f aca="false">C35*C8/10</f>
        <v>-10674.68825</v>
      </c>
    </row>
    <row r="68" customFormat="false" ht="15" hidden="false" customHeight="false" outlineLevel="0" collapsed="false">
      <c r="B68" s="5" t="s">
        <v>80</v>
      </c>
      <c r="C68" s="29" t="n">
        <f aca="false">C65+C66+C67</f>
        <v>45695.45595</v>
      </c>
    </row>
    <row r="69" customFormat="false" ht="15" hidden="false" customHeight="false" outlineLevel="0" collapsed="false">
      <c r="B69" s="8" t="s">
        <v>81</v>
      </c>
      <c r="C69" s="30" t="n">
        <f aca="false">IFERROR(C68/C37*10,0)</f>
        <v>101.148685091282</v>
      </c>
    </row>
    <row r="70" customFormat="false" ht="15" hidden="false" customHeight="false" outlineLevel="0" collapsed="false">
      <c r="B70" s="8" t="s">
        <v>82</v>
      </c>
      <c r="C70" s="30" t="n">
        <f aca="false">C8</f>
        <v>101.11</v>
      </c>
    </row>
    <row r="71" customFormat="false" ht="15" hidden="false" customHeight="false" outlineLevel="0" collapsed="false">
      <c r="B71" s="5" t="s">
        <v>83</v>
      </c>
      <c r="C71" s="31" t="n">
        <f aca="false">IFERROR(C69/C70-1,0)</f>
        <v>0.000382604008326792</v>
      </c>
      <c r="H71" s="2" t="s">
        <v>84</v>
      </c>
    </row>
    <row r="73" customFormat="false" ht="15" hidden="false" customHeight="false" outlineLevel="0" collapsed="false">
      <c r="B73" s="2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5" min="3" style="0" width="16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40"/>
  </cols>
  <sheetData>
    <row r="2" customFormat="false" ht="19.7" hidden="false" customHeight="false" outlineLevel="0" collapsed="false">
      <c r="B2" s="1" t="s">
        <v>86</v>
      </c>
    </row>
    <row r="3" customFormat="false" ht="15" hidden="false" customHeight="false" outlineLevel="0" collapsed="false">
      <c r="B3" s="2" t="s">
        <v>87</v>
      </c>
    </row>
    <row r="5" customFormat="false" ht="15" hidden="false" customHeight="false" outlineLevel="0" collapsed="false">
      <c r="B5" s="3" t="s">
        <v>38</v>
      </c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B6" s="8" t="s">
        <v>88</v>
      </c>
      <c r="C6" s="7" t="s">
        <v>89</v>
      </c>
    </row>
    <row r="7" customFormat="false" ht="15" hidden="false" customHeight="false" outlineLevel="0" collapsed="false">
      <c r="B7" s="8" t="s">
        <v>90</v>
      </c>
      <c r="C7" s="7" t="s">
        <v>91</v>
      </c>
    </row>
    <row r="8" customFormat="false" ht="15" hidden="false" customHeight="false" outlineLevel="0" collapsed="false">
      <c r="B8" s="8" t="s">
        <v>92</v>
      </c>
      <c r="C8" s="32" t="n">
        <v>1</v>
      </c>
    </row>
    <row r="9" customFormat="false" ht="15" hidden="false" customHeight="false" outlineLevel="0" collapsed="false">
      <c r="B9" s="8" t="s">
        <v>93</v>
      </c>
      <c r="C9" s="32" t="n">
        <v>1</v>
      </c>
    </row>
    <row r="10" customFormat="false" ht="15" hidden="false" customHeight="false" outlineLevel="0" collapsed="false">
      <c r="B10" s="8" t="s">
        <v>94</v>
      </c>
      <c r="C10" s="33" t="n">
        <v>0</v>
      </c>
      <c r="H10" s="2" t="s">
        <v>95</v>
      </c>
    </row>
    <row r="11" customFormat="false" ht="15" hidden="false" customHeight="false" outlineLevel="0" collapsed="false">
      <c r="B11" s="8" t="s">
        <v>96</v>
      </c>
      <c r="C11" s="11" t="n">
        <v>234.8</v>
      </c>
    </row>
    <row r="12" customFormat="false" ht="15" hidden="false" customHeight="false" outlineLevel="0" collapsed="false">
      <c r="B12" s="8" t="s">
        <v>97</v>
      </c>
      <c r="C12" s="11" t="n">
        <v>47.2</v>
      </c>
    </row>
    <row r="14" customFormat="false" ht="15" hidden="false" customHeight="false" outlineLevel="0" collapsed="false">
      <c r="B14" s="3" t="s">
        <v>98</v>
      </c>
      <c r="C14" s="4"/>
      <c r="D14" s="4"/>
      <c r="E14" s="4"/>
      <c r="F14" s="4"/>
      <c r="G14" s="4"/>
      <c r="H14" s="4"/>
    </row>
    <row r="15" customFormat="false" ht="26.85" hidden="false" customHeight="false" outlineLevel="0" collapsed="false">
      <c r="B15" s="15" t="s">
        <v>50</v>
      </c>
      <c r="C15" s="15" t="s">
        <v>99</v>
      </c>
      <c r="D15" s="15" t="s">
        <v>100</v>
      </c>
      <c r="E15" s="15" t="s">
        <v>101</v>
      </c>
      <c r="F15" s="15" t="s">
        <v>102</v>
      </c>
      <c r="G15" s="15" t="s">
        <v>103</v>
      </c>
    </row>
    <row r="16" customFormat="false" ht="60" hidden="false" customHeight="true" outlineLevel="0" collapsed="false">
      <c r="B16" s="16" t="s">
        <v>42</v>
      </c>
      <c r="C16" s="17" t="n">
        <v>1055.75</v>
      </c>
      <c r="D16" s="18" t="n">
        <f aca="false">IFERROR(C16/$C$22,0)</f>
        <v>0.334316041470072</v>
      </c>
      <c r="E16" s="26" t="n">
        <f aca="false">C16*$C$8/$C$9</f>
        <v>1055.75</v>
      </c>
      <c r="F16" s="18" t="n">
        <f aca="false">IFERROR(E16/$E$24,0)</f>
        <v>0.334316041470072</v>
      </c>
      <c r="G16" s="18" t="n">
        <f aca="false">F16+D16*$F$23</f>
        <v>0.334316041470072</v>
      </c>
      <c r="H16" s="34" t="s">
        <v>104</v>
      </c>
    </row>
    <row r="17" customFormat="false" ht="15" hidden="false" customHeight="false" outlineLevel="0" collapsed="false">
      <c r="B17" s="16" t="s">
        <v>55</v>
      </c>
      <c r="C17" s="17" t="n">
        <v>800.3</v>
      </c>
      <c r="D17" s="18" t="n">
        <f aca="false">IFERROR(C17/$C$22,0)</f>
        <v>0.25342470091262</v>
      </c>
      <c r="E17" s="26" t="n">
        <f aca="false">C17*$C$8/$C$9</f>
        <v>800.3</v>
      </c>
      <c r="F17" s="18" t="n">
        <f aca="false">IFERROR(E17/$E$24,0)</f>
        <v>0.25342470091262</v>
      </c>
      <c r="G17" s="18" t="n">
        <f aca="false">F17+D17*$F$23</f>
        <v>0.25342470091262</v>
      </c>
    </row>
    <row r="18" customFormat="false" ht="15" hidden="false" customHeight="false" outlineLevel="0" collapsed="false">
      <c r="B18" s="16" t="s">
        <v>57</v>
      </c>
      <c r="C18" s="17" t="n">
        <v>93.24</v>
      </c>
      <c r="D18" s="18" t="n">
        <f aca="false">IFERROR(C18/$C$22,0)</f>
        <v>0.0295255768000659</v>
      </c>
      <c r="E18" s="26" t="n">
        <f aca="false">C18*$C$8/$C$9</f>
        <v>93.24</v>
      </c>
      <c r="F18" s="18" t="n">
        <f aca="false">IFERROR(E18/$E$24,0)</f>
        <v>0.0295255768000659</v>
      </c>
      <c r="G18" s="18" t="n">
        <f aca="false">F18+D18*$F$23</f>
        <v>0.0295255768000659</v>
      </c>
    </row>
    <row r="19" customFormat="false" ht="15" hidden="false" customHeight="false" outlineLevel="0" collapsed="false">
      <c r="B19" s="16" t="s">
        <v>58</v>
      </c>
      <c r="C19" s="17" t="n">
        <v>1208.65</v>
      </c>
      <c r="D19" s="18" t="n">
        <f aca="false">IFERROR(C19/$C$22,0)</f>
        <v>0.382733680817242</v>
      </c>
      <c r="E19" s="26" t="n">
        <f aca="false">C19*$C$8/$C$9</f>
        <v>1208.65</v>
      </c>
      <c r="F19" s="18" t="n">
        <f aca="false">IFERROR(E19/$E$24,0)</f>
        <v>0.382733680817242</v>
      </c>
      <c r="G19" s="18" t="n">
        <f aca="false">F19+D19*$F$23</f>
        <v>0.382733680817242</v>
      </c>
    </row>
    <row r="20" customFormat="false" ht="15" hidden="false" customHeight="false" outlineLevel="0" collapsed="false">
      <c r="B20" s="16"/>
      <c r="C20" s="17"/>
      <c r="D20" s="18" t="n">
        <f aca="false">IFERROR(C20/$C$22,0)</f>
        <v>0</v>
      </c>
      <c r="E20" s="26" t="n">
        <f aca="false">C20*$C$8/$C$9</f>
        <v>0</v>
      </c>
      <c r="F20" s="18" t="n">
        <f aca="false">IFERROR(E20/$E$24,0)</f>
        <v>0</v>
      </c>
      <c r="G20" s="18" t="n">
        <f aca="false">F20+D20*$F$23</f>
        <v>0</v>
      </c>
    </row>
    <row r="21" customFormat="false" ht="15" hidden="false" customHeight="false" outlineLevel="0" collapsed="false">
      <c r="B21" s="16"/>
      <c r="C21" s="17"/>
      <c r="D21" s="18" t="n">
        <f aca="false">IFERROR(C21/$C$22,0)</f>
        <v>0</v>
      </c>
      <c r="E21" s="26" t="n">
        <f aca="false">C21*$C$8/$C$9</f>
        <v>0</v>
      </c>
      <c r="F21" s="18" t="n">
        <f aca="false">IFERROR(E21/$E$24,0)</f>
        <v>0</v>
      </c>
      <c r="G21" s="18" t="n">
        <f aca="false">F21+D21*$F$23</f>
        <v>0</v>
      </c>
    </row>
    <row r="22" customFormat="false" ht="15" hidden="false" customHeight="false" outlineLevel="0" collapsed="false">
      <c r="B22" s="19" t="s">
        <v>105</v>
      </c>
      <c r="C22" s="20" t="n">
        <f aca="false">SUM(C16:C21)</f>
        <v>3157.94</v>
      </c>
      <c r="D22" s="21" t="n">
        <f aca="false">SUM(D16:D21)</f>
        <v>1</v>
      </c>
      <c r="E22" s="20" t="n">
        <f aca="false">SUM(E16:E21)</f>
        <v>3157.94</v>
      </c>
      <c r="F22" s="21" t="n">
        <f aca="false">SUM(F16:F21)</f>
        <v>1</v>
      </c>
    </row>
    <row r="23" customFormat="false" ht="15" hidden="false" customHeight="false" outlineLevel="0" collapsed="false">
      <c r="B23" s="25" t="s">
        <v>106</v>
      </c>
      <c r="E23" s="26" t="n">
        <f aca="false">IFERROR(E22*$C$10/(1-$C$10),0)</f>
        <v>0</v>
      </c>
      <c r="F23" s="18" t="n">
        <f aca="false">IFERROR(E23/$E$24,0)</f>
        <v>0</v>
      </c>
    </row>
    <row r="24" customFormat="false" ht="15" hidden="false" customHeight="false" outlineLevel="0" collapsed="false">
      <c r="B24" s="19" t="s">
        <v>107</v>
      </c>
      <c r="E24" s="20" t="n">
        <f aca="false">E22+E23</f>
        <v>3157.94</v>
      </c>
      <c r="F24" s="21" t="n">
        <f aca="false">F22+F23</f>
        <v>1</v>
      </c>
    </row>
    <row r="26" customFormat="false" ht="15" hidden="false" customHeight="false" outlineLevel="0" collapsed="false">
      <c r="B26" s="3" t="s">
        <v>108</v>
      </c>
      <c r="C26" s="4"/>
      <c r="D26" s="4"/>
      <c r="E26" s="4"/>
      <c r="F26" s="4"/>
      <c r="G26" s="4"/>
      <c r="H26" s="4"/>
    </row>
    <row r="27" customFormat="false" ht="15" hidden="false" customHeight="false" outlineLevel="0" collapsed="false">
      <c r="B27" s="8" t="s">
        <v>109</v>
      </c>
      <c r="C27" s="30" t="n">
        <f aca="false">C11</f>
        <v>234.8</v>
      </c>
    </row>
    <row r="28" customFormat="false" ht="15" hidden="false" customHeight="false" outlineLevel="0" collapsed="false">
      <c r="B28" s="8" t="s">
        <v>110</v>
      </c>
      <c r="C28" s="30" t="n">
        <f aca="false">-C12</f>
        <v>-47.2</v>
      </c>
    </row>
    <row r="29" customFormat="false" ht="15" hidden="false" customHeight="false" outlineLevel="0" collapsed="false">
      <c r="B29" s="5" t="s">
        <v>111</v>
      </c>
      <c r="C29" s="35" t="n">
        <f aca="false">C27+C28</f>
        <v>187.6</v>
      </c>
    </row>
    <row r="30" customFormat="false" ht="15" hidden="false" customHeight="false" outlineLevel="0" collapsed="false">
      <c r="B30" s="8" t="s">
        <v>112</v>
      </c>
      <c r="C30" s="30" t="n">
        <f aca="false">IFERROR(C12*C9/C8*(1-C10),0)</f>
        <v>47.2</v>
      </c>
      <c r="H30" s="2" t="s">
        <v>113</v>
      </c>
    </row>
    <row r="31" customFormat="false" ht="15" hidden="false" customHeight="false" outlineLevel="0" collapsed="false">
      <c r="B31" s="8" t="s">
        <v>114</v>
      </c>
      <c r="C31" s="30" t="n">
        <f aca="false">C29+C30*C8/C9</f>
        <v>234.8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2"/>
    <col collapsed="false" customWidth="true" hidden="false" outlineLevel="0" max="4" min="3" style="0" width="16"/>
    <col collapsed="false" customWidth="true" hidden="false" outlineLevel="0" max="5" min="5" style="0" width="4"/>
    <col collapsed="false" customWidth="true" hidden="false" outlineLevel="0" max="6" min="6" style="0" width="16"/>
    <col collapsed="false" customWidth="true" hidden="false" outlineLevel="0" max="7" min="7" style="0" width="44"/>
    <col collapsed="false" customWidth="true" hidden="false" outlineLevel="0" max="8" min="8" style="0" width="36"/>
  </cols>
  <sheetData>
    <row r="2" customFormat="false" ht="19.7" hidden="false" customHeight="false" outlineLevel="0" collapsed="false">
      <c r="B2" s="1" t="s">
        <v>115</v>
      </c>
    </row>
    <row r="3" customFormat="false" ht="15" hidden="false" customHeight="false" outlineLevel="0" collapsed="false">
      <c r="B3" s="2" t="s">
        <v>116</v>
      </c>
    </row>
    <row r="5" customFormat="false" ht="15" hidden="false" customHeight="false" outlineLevel="0" collapsed="false">
      <c r="B5" s="3" t="s">
        <v>38</v>
      </c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B6" s="8" t="s">
        <v>117</v>
      </c>
      <c r="C6" s="36" t="n">
        <v>1055.75</v>
      </c>
    </row>
    <row r="7" customFormat="false" ht="15" hidden="false" customHeight="false" outlineLevel="0" collapsed="false">
      <c r="B7" s="8" t="s">
        <v>118</v>
      </c>
      <c r="C7" s="36" t="n">
        <v>800.3</v>
      </c>
    </row>
    <row r="8" customFormat="false" ht="15" hidden="false" customHeight="false" outlineLevel="0" collapsed="false">
      <c r="B8" s="8" t="s">
        <v>119</v>
      </c>
      <c r="C8" s="36" t="n">
        <v>93.24</v>
      </c>
    </row>
    <row r="9" customFormat="false" ht="15" hidden="false" customHeight="false" outlineLevel="0" collapsed="false">
      <c r="B9" s="8" t="s">
        <v>120</v>
      </c>
      <c r="C9" s="36" t="n">
        <v>1208.65</v>
      </c>
    </row>
    <row r="10" customFormat="false" ht="15" hidden="false" customHeight="false" outlineLevel="0" collapsed="false">
      <c r="B10" s="8" t="s">
        <v>121</v>
      </c>
      <c r="C10" s="36" t="n">
        <v>473.61</v>
      </c>
    </row>
    <row r="11" customFormat="false" ht="15" hidden="false" customHeight="false" outlineLevel="0" collapsed="false">
      <c r="B11" s="8" t="s">
        <v>122</v>
      </c>
      <c r="C11" s="33" t="n">
        <v>0.904</v>
      </c>
    </row>
    <row r="12" customFormat="false" ht="15" hidden="false" customHeight="false" outlineLevel="0" collapsed="false">
      <c r="B12" s="8" t="s">
        <v>123</v>
      </c>
      <c r="C12" s="33" t="n">
        <v>0.096</v>
      </c>
    </row>
    <row r="13" customFormat="false" ht="15" hidden="false" customHeight="false" outlineLevel="0" collapsed="false">
      <c r="B13" s="8" t="s">
        <v>124</v>
      </c>
      <c r="C13" s="37" t="n">
        <v>5.1</v>
      </c>
    </row>
    <row r="14" customFormat="false" ht="43.5" hidden="false" customHeight="true" outlineLevel="0" collapsed="false">
      <c r="B14" s="8" t="s">
        <v>125</v>
      </c>
      <c r="C14" s="37" t="n">
        <v>5.1</v>
      </c>
      <c r="H14" s="34" t="s">
        <v>126</v>
      </c>
    </row>
    <row r="15" customFormat="false" ht="15" hidden="false" customHeight="false" outlineLevel="0" collapsed="false">
      <c r="B15" s="8" t="s">
        <v>127</v>
      </c>
      <c r="C15" s="36" t="n">
        <v>1</v>
      </c>
    </row>
    <row r="16" customFormat="false" ht="15" hidden="false" customHeight="false" outlineLevel="0" collapsed="false">
      <c r="B16" s="5" t="s">
        <v>128</v>
      </c>
      <c r="C16" s="23" t="n">
        <f aca="false">SUM(C6:C9)</f>
        <v>3157.94</v>
      </c>
    </row>
    <row r="18" customFormat="false" ht="15" hidden="false" customHeight="false" outlineLevel="0" collapsed="false">
      <c r="B18" s="3" t="s">
        <v>129</v>
      </c>
      <c r="C18" s="4"/>
      <c r="F18" s="3" t="s">
        <v>130</v>
      </c>
      <c r="G18" s="4"/>
    </row>
    <row r="19" customFormat="false" ht="15" hidden="false" customHeight="false" outlineLevel="0" collapsed="false">
      <c r="B19" s="5" t="s">
        <v>131</v>
      </c>
      <c r="F19" s="5" t="s">
        <v>132</v>
      </c>
    </row>
    <row r="20" customFormat="false" ht="15" hidden="false" customHeight="false" outlineLevel="0" collapsed="false">
      <c r="B20" s="15" t="s">
        <v>133</v>
      </c>
      <c r="C20" s="15" t="s">
        <v>134</v>
      </c>
      <c r="D20" s="15" t="s">
        <v>135</v>
      </c>
      <c r="F20" s="15" t="s">
        <v>136</v>
      </c>
      <c r="G20" s="15" t="s">
        <v>134</v>
      </c>
    </row>
    <row r="21" customFormat="false" ht="15" hidden="false" customHeight="false" outlineLevel="0" collapsed="false">
      <c r="B21" s="25" t="s">
        <v>42</v>
      </c>
      <c r="C21" s="26" t="n">
        <f aca="false">C6*$C$15</f>
        <v>1055.75</v>
      </c>
      <c r="D21" s="18" t="n">
        <f aca="false">C21/$C$25</f>
        <v>0.334316041470072</v>
      </c>
      <c r="F21" s="25" t="s">
        <v>137</v>
      </c>
      <c r="G21" s="26" t="n">
        <f aca="false">C16</f>
        <v>3157.94</v>
      </c>
    </row>
    <row r="22" customFormat="false" ht="15" hidden="false" customHeight="false" outlineLevel="0" collapsed="false">
      <c r="B22" s="25" t="s">
        <v>55</v>
      </c>
      <c r="C22" s="26" t="n">
        <f aca="false">C7*$C$15</f>
        <v>800.3</v>
      </c>
      <c r="D22" s="18" t="n">
        <f aca="false">C22/$C$25</f>
        <v>0.25342470091262</v>
      </c>
      <c r="F22" s="25" t="s">
        <v>138</v>
      </c>
      <c r="G22" s="26" t="n">
        <f aca="false">-C6</f>
        <v>-1055.75</v>
      </c>
    </row>
    <row r="23" customFormat="false" ht="15" hidden="false" customHeight="false" outlineLevel="0" collapsed="false">
      <c r="B23" s="25" t="s">
        <v>57</v>
      </c>
      <c r="C23" s="26" t="n">
        <f aca="false">C8*$C$15</f>
        <v>93.24</v>
      </c>
      <c r="D23" s="18" t="n">
        <f aca="false">C23/$C$25</f>
        <v>0.0295255768000659</v>
      </c>
      <c r="F23" s="25" t="s">
        <v>139</v>
      </c>
      <c r="G23" s="26" t="n">
        <f aca="false">C10*C14</f>
        <v>2415.411</v>
      </c>
    </row>
    <row r="24" customFormat="false" ht="15" hidden="false" customHeight="false" outlineLevel="0" collapsed="false">
      <c r="B24" s="25" t="s">
        <v>58</v>
      </c>
      <c r="C24" s="26" t="n">
        <f aca="false">C9*$C$15</f>
        <v>1208.65</v>
      </c>
      <c r="D24" s="18" t="n">
        <f aca="false">C24/$C$25</f>
        <v>0.382733680817242</v>
      </c>
      <c r="F24" s="38" t="s">
        <v>140</v>
      </c>
      <c r="G24" s="39" t="n">
        <f aca="false">SUM(G21:G23)</f>
        <v>4517.601</v>
      </c>
    </row>
    <row r="25" customFormat="false" ht="15" hidden="false" customHeight="false" outlineLevel="0" collapsed="false">
      <c r="B25" s="19" t="s">
        <v>141</v>
      </c>
      <c r="C25" s="20" t="n">
        <f aca="false">SUM(C21:C24)</f>
        <v>3157.94</v>
      </c>
    </row>
    <row r="27" customFormat="false" ht="15" hidden="false" customHeight="false" outlineLevel="0" collapsed="false">
      <c r="B27" s="5" t="s">
        <v>142</v>
      </c>
      <c r="F27" s="5" t="s">
        <v>143</v>
      </c>
    </row>
    <row r="28" customFormat="false" ht="15" hidden="false" customHeight="false" outlineLevel="0" collapsed="false">
      <c r="B28" s="25" t="s">
        <v>137</v>
      </c>
      <c r="C28" s="26" t="n">
        <f aca="false">C16</f>
        <v>3157.94</v>
      </c>
    </row>
    <row r="29" customFormat="false" ht="15" hidden="false" customHeight="false" outlineLevel="0" collapsed="false">
      <c r="B29" s="25" t="s">
        <v>138</v>
      </c>
      <c r="C29" s="26" t="n">
        <f aca="false">-C6</f>
        <v>-1055.75</v>
      </c>
    </row>
    <row r="30" customFormat="false" ht="15" hidden="false" customHeight="false" outlineLevel="0" collapsed="false">
      <c r="B30" s="25" t="s">
        <v>139</v>
      </c>
      <c r="C30" s="26" t="n">
        <f aca="false">C10*C13</f>
        <v>2415.411</v>
      </c>
    </row>
    <row r="31" customFormat="false" ht="15" hidden="false" customHeight="false" outlineLevel="0" collapsed="false">
      <c r="B31" s="38" t="s">
        <v>140</v>
      </c>
      <c r="C31" s="39" t="n">
        <f aca="false">SUM(C28:C30)</f>
        <v>4517.601</v>
      </c>
    </row>
    <row r="33" customFormat="false" ht="15" hidden="false" customHeight="false" outlineLevel="0" collapsed="false">
      <c r="B33" s="3" t="s">
        <v>144</v>
      </c>
      <c r="C33" s="4"/>
      <c r="D33" s="4"/>
      <c r="E33" s="4"/>
      <c r="F33" s="4"/>
      <c r="G33" s="4"/>
      <c r="H33" s="4"/>
    </row>
    <row r="34" customFormat="false" ht="15" hidden="false" customHeight="false" outlineLevel="0" collapsed="false">
      <c r="B34" s="15" t="s">
        <v>50</v>
      </c>
      <c r="C34" s="15" t="s">
        <v>145</v>
      </c>
      <c r="D34" s="15" t="s">
        <v>146</v>
      </c>
      <c r="F34" s="15" t="s">
        <v>147</v>
      </c>
      <c r="G34" s="15" t="s">
        <v>148</v>
      </c>
    </row>
    <row r="35" customFormat="false" ht="15" hidden="false" customHeight="false" outlineLevel="0" collapsed="false">
      <c r="B35" s="25" t="s">
        <v>61</v>
      </c>
      <c r="C35" s="26" t="n">
        <f aca="false">C8+C11*C30</f>
        <v>2276.771544</v>
      </c>
      <c r="D35" s="18" t="n">
        <f aca="false">C35/$C$31</f>
        <v>0.503978006025765</v>
      </c>
      <c r="F35" s="26" t="n">
        <f aca="false">C8+C11*G23</f>
        <v>2276.771544</v>
      </c>
      <c r="G35" s="18" t="n">
        <f aca="false">F35/$G$24</f>
        <v>0.503978006025765</v>
      </c>
    </row>
    <row r="36" customFormat="false" ht="15" hidden="false" customHeight="false" outlineLevel="0" collapsed="false">
      <c r="B36" s="25" t="s">
        <v>55</v>
      </c>
      <c r="C36" s="26" t="n">
        <f aca="false">C7</f>
        <v>800.3</v>
      </c>
      <c r="D36" s="18" t="n">
        <f aca="false">C36/$C$31</f>
        <v>0.177151545698702</v>
      </c>
      <c r="F36" s="26" t="n">
        <f aca="false">C7</f>
        <v>800.3</v>
      </c>
      <c r="G36" s="18" t="n">
        <f aca="false">F36/$G$24</f>
        <v>0.177151545698702</v>
      </c>
    </row>
    <row r="37" customFormat="false" ht="15" hidden="false" customHeight="false" outlineLevel="0" collapsed="false">
      <c r="B37" s="25" t="s">
        <v>58</v>
      </c>
      <c r="C37" s="26" t="n">
        <f aca="false">C9</f>
        <v>1208.65</v>
      </c>
      <c r="D37" s="18" t="n">
        <f aca="false">C37/$C$31</f>
        <v>0.267542441220462</v>
      </c>
      <c r="F37" s="26" t="n">
        <f aca="false">C9</f>
        <v>1208.65</v>
      </c>
      <c r="G37" s="18" t="n">
        <f aca="false">F37/$G$24</f>
        <v>0.267542441220462</v>
      </c>
    </row>
    <row r="38" customFormat="false" ht="15" hidden="false" customHeight="false" outlineLevel="0" collapsed="false">
      <c r="B38" s="25" t="s">
        <v>62</v>
      </c>
      <c r="C38" s="26" t="n">
        <f aca="false">C12*C30</f>
        <v>231.879456</v>
      </c>
      <c r="D38" s="18" t="n">
        <f aca="false">C38/$C$31</f>
        <v>0.0513280070550719</v>
      </c>
      <c r="F38" s="26" t="n">
        <f aca="false">C12*G23</f>
        <v>231.879456</v>
      </c>
      <c r="G38" s="18" t="n">
        <f aca="false">F38/$G$24</f>
        <v>0.0513280070550719</v>
      </c>
    </row>
    <row r="39" customFormat="false" ht="15" hidden="false" customHeight="false" outlineLevel="0" collapsed="false">
      <c r="B39" s="19" t="s">
        <v>59</v>
      </c>
      <c r="C39" s="20" t="n">
        <f aca="false">SUM(C35:C38)</f>
        <v>4517.601</v>
      </c>
      <c r="D39" s="21" t="n">
        <f aca="false">SUM(D35:D38)</f>
        <v>1</v>
      </c>
      <c r="F39" s="20" t="n">
        <f aca="false">SUM(F35:F38)</f>
        <v>4517.601</v>
      </c>
      <c r="G39" s="21" t="n">
        <f aca="false">SUM(G35:G38)</f>
        <v>1</v>
      </c>
    </row>
    <row r="41" customFormat="false" ht="15" hidden="false" customHeight="false" outlineLevel="0" collapsed="false">
      <c r="B41" s="3" t="s">
        <v>149</v>
      </c>
      <c r="C41" s="4"/>
      <c r="D41" s="4"/>
      <c r="E41" s="4"/>
      <c r="F41" s="4"/>
      <c r="G41" s="4"/>
      <c r="H41" s="4"/>
    </row>
    <row r="42" customFormat="false" ht="26.85" hidden="false" customHeight="false" outlineLevel="0" collapsed="false">
      <c r="B42" s="15" t="s">
        <v>50</v>
      </c>
      <c r="C42" s="15" t="s">
        <v>146</v>
      </c>
      <c r="D42" s="15"/>
      <c r="E42" s="15" t="s">
        <v>148</v>
      </c>
    </row>
    <row r="43" customFormat="false" ht="15" hidden="false" customHeight="false" outlineLevel="0" collapsed="false">
      <c r="B43" s="25" t="s">
        <v>55</v>
      </c>
      <c r="C43" s="18" t="n">
        <f aca="false">D22</f>
        <v>0.25342470091262</v>
      </c>
      <c r="E43" s="18" t="n">
        <f aca="false">G36</f>
        <v>0.177151545698702</v>
      </c>
    </row>
    <row r="44" customFormat="false" ht="15" hidden="false" customHeight="false" outlineLevel="0" collapsed="false">
      <c r="B44" s="25" t="s">
        <v>58</v>
      </c>
      <c r="C44" s="18" t="n">
        <f aca="false">D24</f>
        <v>0.382733680817242</v>
      </c>
      <c r="E44" s="18" t="n">
        <f aca="false">G37</f>
        <v>0.267542441220462</v>
      </c>
    </row>
    <row r="45" customFormat="false" ht="15" hidden="false" customHeight="false" outlineLevel="0" collapsed="false">
      <c r="B45" s="25" t="s">
        <v>57</v>
      </c>
      <c r="C45" s="18" t="n">
        <f aca="false">D23</f>
        <v>0.0295255768000659</v>
      </c>
      <c r="E45" s="18" t="n">
        <f aca="false">G35</f>
        <v>0.503978006025765</v>
      </c>
    </row>
    <row r="46" customFormat="false" ht="15" hidden="false" customHeight="false" outlineLevel="0" collapsed="false">
      <c r="B46" s="25" t="s">
        <v>150</v>
      </c>
      <c r="C46" s="18" t="n">
        <f aca="false">D21</f>
        <v>0.334316041470072</v>
      </c>
      <c r="E46" s="18" t="n">
        <f aca="false">0</f>
        <v>0</v>
      </c>
    </row>
    <row r="47" customFormat="false" ht="15" hidden="false" customHeight="false" outlineLevel="0" collapsed="false">
      <c r="B47" s="25" t="s">
        <v>62</v>
      </c>
      <c r="C47" s="18" t="n">
        <f aca="false">0</f>
        <v>0</v>
      </c>
      <c r="E47" s="18" t="n">
        <f aca="false">G38</f>
        <v>0.0513280070550719</v>
      </c>
    </row>
    <row r="48" customFormat="false" ht="15" hidden="false" customHeight="false" outlineLevel="0" collapsed="false">
      <c r="B48" s="19" t="s">
        <v>59</v>
      </c>
      <c r="C48" s="21" t="n">
        <f aca="false">SUM(C43:C47)</f>
        <v>1</v>
      </c>
      <c r="E48" s="21" t="n">
        <f aca="false">SUM(E43:E47)</f>
        <v>1</v>
      </c>
    </row>
    <row r="49" customFormat="false" ht="15" hidden="false" customHeight="false" outlineLevel="0" collapsed="false">
      <c r="B49" s="2" t="s">
        <v>151</v>
      </c>
    </row>
    <row r="51" customFormat="false" ht="15" hidden="false" customHeight="false" outlineLevel="0" collapsed="false">
      <c r="B51" s="3" t="s">
        <v>152</v>
      </c>
      <c r="C51" s="4"/>
      <c r="D51" s="4"/>
      <c r="E51" s="4"/>
      <c r="F51" s="4"/>
      <c r="G51" s="4"/>
      <c r="H51" s="4"/>
    </row>
    <row r="52" customFormat="false" ht="64.9" hidden="false" customHeight="false" outlineLevel="0" collapsed="false">
      <c r="B52" s="15" t="s">
        <v>153</v>
      </c>
      <c r="C52" s="15" t="s">
        <v>154</v>
      </c>
      <c r="D52" s="15"/>
      <c r="E52" s="15" t="s">
        <v>155</v>
      </c>
      <c r="F52" s="15"/>
      <c r="G52" s="15" t="s">
        <v>156</v>
      </c>
    </row>
    <row r="53" customFormat="false" ht="15" hidden="false" customHeight="false" outlineLevel="0" collapsed="false">
      <c r="B53" s="25" t="s">
        <v>55</v>
      </c>
      <c r="C53" s="18" t="n">
        <f aca="false">C43+D36*C46</f>
        <v>0.312649304410915</v>
      </c>
      <c r="E53" s="18" t="n">
        <f aca="false">E43</f>
        <v>0.177151545698702</v>
      </c>
      <c r="G53" s="25" t="s">
        <v>157</v>
      </c>
    </row>
    <row r="54" customFormat="false" ht="15" hidden="false" customHeight="false" outlineLevel="0" collapsed="false">
      <c r="B54" s="25" t="s">
        <v>61</v>
      </c>
      <c r="C54" s="18" t="n">
        <f aca="false">C45+D35*C46</f>
        <v>0.19801350876258</v>
      </c>
      <c r="E54" s="18" t="n">
        <f aca="false">E45</f>
        <v>0.503978006025765</v>
      </c>
      <c r="G54" s="25" t="s">
        <v>158</v>
      </c>
    </row>
    <row r="55" customFormat="false" ht="15" hidden="false" customHeight="false" outlineLevel="0" collapsed="false">
      <c r="B55" s="25" t="s">
        <v>159</v>
      </c>
      <c r="C55" s="18" t="n">
        <f aca="false">C44+D37*C46</f>
        <v>0.472177410691306</v>
      </c>
      <c r="E55" s="18" t="n">
        <f aca="false">E44</f>
        <v>0.267542441220462</v>
      </c>
      <c r="G55" s="25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7"/>
    <col collapsed="false" customWidth="true" hidden="false" outlineLevel="0" max="3" min="3" style="0" width="62"/>
    <col collapsed="false" customWidth="true" hidden="false" outlineLevel="0" max="4" min="4" style="0" width="42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44"/>
  </cols>
  <sheetData>
    <row r="2" customFormat="false" ht="19.7" hidden="false" customHeight="false" outlineLevel="0" collapsed="false">
      <c r="B2" s="1" t="s">
        <v>161</v>
      </c>
    </row>
    <row r="3" customFormat="false" ht="15" hidden="false" customHeight="false" outlineLevel="0" collapsed="false">
      <c r="B3" s="2" t="s">
        <v>162</v>
      </c>
    </row>
    <row r="4" customFormat="false" ht="15" hidden="false" customHeight="false" outlineLevel="0" collapsed="false">
      <c r="B4" s="2" t="s">
        <v>163</v>
      </c>
    </row>
    <row r="6" customFormat="false" ht="15" hidden="false" customHeight="false" outlineLevel="0" collapsed="false">
      <c r="B6" s="3" t="s">
        <v>164</v>
      </c>
      <c r="C6" s="3" t="s">
        <v>165</v>
      </c>
      <c r="D6" s="4"/>
      <c r="E6" s="4"/>
      <c r="F6" s="4"/>
      <c r="G6" s="4"/>
    </row>
    <row r="7" customFormat="false" ht="45.75" hidden="false" customHeight="true" outlineLevel="0" collapsed="false">
      <c r="C7" s="40" t="s">
        <v>166</v>
      </c>
      <c r="D7" s="40"/>
      <c r="E7" s="40"/>
      <c r="F7" s="40"/>
      <c r="G7" s="40"/>
    </row>
    <row r="8" customFormat="false" ht="15" hidden="false" customHeight="false" outlineLevel="0" collapsed="false">
      <c r="B8" s="15"/>
      <c r="C8" s="15" t="s">
        <v>167</v>
      </c>
      <c r="D8" s="15"/>
      <c r="E8" s="15" t="s">
        <v>168</v>
      </c>
      <c r="F8" s="15" t="s">
        <v>169</v>
      </c>
      <c r="G8" s="15" t="s">
        <v>170</v>
      </c>
    </row>
    <row r="9" customFormat="false" ht="23.85" hidden="false" customHeight="false" outlineLevel="0" collapsed="false">
      <c r="C9" s="25" t="s">
        <v>23</v>
      </c>
      <c r="D9" s="25"/>
      <c r="E9" s="41" t="n">
        <v>0.5</v>
      </c>
      <c r="F9" s="42" t="str">
        <f aca="false">IF(E9="","",IF(ABS(E9-Solutions!D14)&lt;=MAX(0.005*ABS(Solutions!D14),0.0005),"Correct","Try again"))</f>
        <v>Correct</v>
      </c>
      <c r="G9" s="34" t="s">
        <v>171</v>
      </c>
    </row>
    <row r="10" customFormat="false" ht="15" hidden="false" customHeight="false" outlineLevel="0" collapsed="false">
      <c r="C10" s="25" t="s">
        <v>172</v>
      </c>
      <c r="D10" s="25"/>
      <c r="E10" s="43"/>
      <c r="F10" s="42" t="str">
        <f aca="false">IF(E10="","",IF(ABS(E10-Solutions!D15)&lt;=MAX(0.005*ABS(Solutions!D15),0.0005),"Correct","Try again"))</f>
        <v/>
      </c>
      <c r="G10" s="2" t="s">
        <v>173</v>
      </c>
    </row>
    <row r="11" customFormat="false" ht="15" hidden="false" customHeight="false" outlineLevel="0" collapsed="false">
      <c r="C11" s="25" t="s">
        <v>174</v>
      </c>
      <c r="D11" s="25"/>
      <c r="E11" s="43"/>
      <c r="F11" s="42" t="str">
        <f aca="false">IF(E11="","",IF(ABS(E11-Solutions!D16)&lt;=MAX(0.005*ABS(Solutions!D16),0.0005),"Correct","Try again"))</f>
        <v/>
      </c>
    </row>
    <row r="12" customFormat="false" ht="15" hidden="false" customHeight="false" outlineLevel="0" collapsed="false">
      <c r="C12" s="25" t="s">
        <v>175</v>
      </c>
      <c r="D12" s="25"/>
      <c r="E12" s="44"/>
      <c r="F12" s="42" t="str">
        <f aca="false">IF(E12="","",IF(ABS(E12-Solutions!D17)&lt;=MAX(0.005*ABS(Solutions!D17),0.0005),"Correct","Try again"))</f>
        <v/>
      </c>
    </row>
    <row r="13" customFormat="false" ht="15" hidden="false" customHeight="false" outlineLevel="0" collapsed="false">
      <c r="C13" s="25" t="s">
        <v>176</v>
      </c>
      <c r="D13" s="25"/>
      <c r="E13" s="44"/>
      <c r="F13" s="42" t="str">
        <f aca="false">IF(E13="","",IF(ABS(E13-Solutions!D18)&lt;=MAX(0.005*ABS(Solutions!D18),0.0005),"Correct","Try again"))</f>
        <v/>
      </c>
    </row>
    <row r="14" customFormat="false" ht="15" hidden="false" customHeight="false" outlineLevel="0" collapsed="false">
      <c r="C14" s="25" t="s">
        <v>177</v>
      </c>
      <c r="D14" s="25"/>
      <c r="E14" s="44"/>
      <c r="F14" s="42" t="str">
        <f aca="false">IF(E14="","",IF(ABS(E14-Solutions!D19)&lt;=MAX(0.005*ABS(Solutions!D19),0.0005),"Correct","Try again"))</f>
        <v/>
      </c>
    </row>
    <row r="15" customFormat="false" ht="15" hidden="false" customHeight="false" outlineLevel="0" collapsed="false">
      <c r="C15" s="25" t="s">
        <v>178</v>
      </c>
      <c r="D15" s="25"/>
      <c r="E15" s="44"/>
      <c r="F15" s="42" t="str">
        <f aca="false">IF(E15="","",IF(ABS(E15-Solutions!D20)&lt;=MAX(0.005*ABS(Solutions!D20),0.0005),"Correct","Try again"))</f>
        <v/>
      </c>
    </row>
    <row r="17" customFormat="false" ht="15" hidden="false" customHeight="false" outlineLevel="0" collapsed="false">
      <c r="B17" s="3" t="s">
        <v>179</v>
      </c>
      <c r="C17" s="3" t="s">
        <v>180</v>
      </c>
      <c r="D17" s="4"/>
      <c r="E17" s="4"/>
      <c r="F17" s="4"/>
      <c r="G17" s="4"/>
    </row>
    <row r="18" customFormat="false" ht="45.75" hidden="false" customHeight="true" outlineLevel="0" collapsed="false">
      <c r="C18" s="40" t="s">
        <v>181</v>
      </c>
      <c r="D18" s="40"/>
      <c r="E18" s="40"/>
      <c r="F18" s="40"/>
      <c r="G18" s="40"/>
    </row>
    <row r="19" customFormat="false" ht="15" hidden="false" customHeight="false" outlineLevel="0" collapsed="false">
      <c r="B19" s="15"/>
      <c r="C19" s="15" t="s">
        <v>167</v>
      </c>
      <c r="D19" s="15"/>
      <c r="E19" s="15" t="s">
        <v>168</v>
      </c>
      <c r="F19" s="15" t="s">
        <v>169</v>
      </c>
      <c r="G19" s="15" t="s">
        <v>170</v>
      </c>
    </row>
    <row r="20" customFormat="false" ht="23.85" hidden="false" customHeight="false" outlineLevel="0" collapsed="false">
      <c r="C20" s="25" t="s">
        <v>182</v>
      </c>
      <c r="D20" s="25"/>
      <c r="E20" s="45"/>
      <c r="F20" s="42" t="str">
        <f aca="false">IF(E20="","",IF(ABS(E20-Solutions!D30)&lt;=MAX(0.005*ABS(Solutions!D30),0.0005),"Correct","Try again"))</f>
        <v/>
      </c>
      <c r="G20" s="34" t="s">
        <v>183</v>
      </c>
    </row>
    <row r="21" customFormat="false" ht="15" hidden="false" customHeight="false" outlineLevel="0" collapsed="false">
      <c r="C21" s="25" t="s">
        <v>184</v>
      </c>
      <c r="D21" s="25"/>
      <c r="E21" s="46"/>
      <c r="F21" s="42" t="str">
        <f aca="false">IF(E21="","",IF(ABS(E21-Solutions!D31)&lt;=MAX(0.005*ABS(Solutions!D31),0.0005),"Correct","Try again"))</f>
        <v/>
      </c>
    </row>
    <row r="22" customFormat="false" ht="15" hidden="false" customHeight="false" outlineLevel="0" collapsed="false">
      <c r="C22" s="25" t="s">
        <v>23</v>
      </c>
      <c r="D22" s="25"/>
      <c r="E22" s="41"/>
      <c r="F22" s="42" t="str">
        <f aca="false">IF(E22="","",IF(ABS(E22-Solutions!D32)&lt;=MAX(0.005*ABS(Solutions!D32),0.0005),"Correct","Try again"))</f>
        <v/>
      </c>
    </row>
    <row r="23" customFormat="false" ht="15" hidden="false" customHeight="false" outlineLevel="0" collapsed="false">
      <c r="C23" s="25" t="s">
        <v>185</v>
      </c>
      <c r="D23" s="25"/>
      <c r="E23" s="43"/>
      <c r="F23" s="42" t="str">
        <f aca="false">IF(E23="","",IF(ABS(E23-Solutions!D33)&lt;=MAX(0.005*ABS(Solutions!D33),0.0005),"Correct","Try again"))</f>
        <v/>
      </c>
    </row>
    <row r="24" customFormat="false" ht="15" hidden="false" customHeight="false" outlineLevel="0" collapsed="false">
      <c r="C24" s="25" t="s">
        <v>186</v>
      </c>
      <c r="D24" s="25"/>
      <c r="E24" s="43"/>
      <c r="F24" s="42" t="str">
        <f aca="false">IF(E24="","",IF(ABS(E24-Solutions!D34)&lt;=MAX(0.005*ABS(Solutions!D34),0.0005),"Correct","Try again"))</f>
        <v/>
      </c>
    </row>
    <row r="25" customFormat="false" ht="15" hidden="false" customHeight="false" outlineLevel="0" collapsed="false">
      <c r="C25" s="25" t="s">
        <v>187</v>
      </c>
      <c r="D25" s="25"/>
      <c r="E25" s="43"/>
      <c r="F25" s="42" t="str">
        <f aca="false">IF(E25="","",IF(ABS(E25-Solutions!D35)&lt;=MAX(0.005*ABS(Solutions!D35),0.0005),"Correct","Try again"))</f>
        <v/>
      </c>
    </row>
    <row r="26" customFormat="false" ht="15" hidden="false" customHeight="false" outlineLevel="0" collapsed="false">
      <c r="C26" s="25" t="s">
        <v>188</v>
      </c>
      <c r="D26" s="25"/>
      <c r="E26" s="47"/>
      <c r="F26" s="42" t="str">
        <f aca="false">IF(E26="","",IF(ABS(E26-Solutions!D36)&lt;=MAX(0.005*ABS(Solutions!D36),0.0005),"Correct","Try again"))</f>
        <v/>
      </c>
    </row>
    <row r="27" customFormat="false" ht="15" hidden="false" customHeight="false" outlineLevel="0" collapsed="false">
      <c r="C27" s="25" t="s">
        <v>189</v>
      </c>
      <c r="D27" s="25"/>
      <c r="E27" s="47"/>
      <c r="F27" s="42" t="str">
        <f aca="false">IF(E27="","",IF(ABS(E27-Solutions!D37)&lt;=MAX(0.005*ABS(Solutions!D37),0.0005),"Correct","Try again"))</f>
        <v/>
      </c>
    </row>
    <row r="28" customFormat="false" ht="15" hidden="false" customHeight="false" outlineLevel="0" collapsed="false">
      <c r="C28" s="25" t="s">
        <v>81</v>
      </c>
      <c r="D28" s="25"/>
      <c r="E28" s="46"/>
      <c r="F28" s="42" t="str">
        <f aca="false">IF(E28="","",IF(ABS(E28-Solutions!D38)&lt;=MAX(0.005*ABS(Solutions!D38),0.0005),"Correct","Try again"))</f>
        <v/>
      </c>
    </row>
    <row r="30" customFormat="false" ht="15" hidden="false" customHeight="false" outlineLevel="0" collapsed="false">
      <c r="B30" s="3" t="s">
        <v>190</v>
      </c>
      <c r="C30" s="3" t="s">
        <v>191</v>
      </c>
      <c r="D30" s="4"/>
      <c r="E30" s="4"/>
      <c r="F30" s="4"/>
      <c r="G30" s="4"/>
    </row>
    <row r="31" customFormat="false" ht="45.75" hidden="false" customHeight="true" outlineLevel="0" collapsed="false">
      <c r="C31" s="40" t="s">
        <v>192</v>
      </c>
      <c r="D31" s="40"/>
      <c r="E31" s="40"/>
      <c r="F31" s="40"/>
      <c r="G31" s="40"/>
    </row>
    <row r="32" customFormat="false" ht="15" hidden="false" customHeight="false" outlineLevel="0" collapsed="false">
      <c r="B32" s="15"/>
      <c r="C32" s="15" t="s">
        <v>167</v>
      </c>
      <c r="D32" s="15"/>
      <c r="E32" s="15" t="s">
        <v>168</v>
      </c>
      <c r="F32" s="15" t="s">
        <v>169</v>
      </c>
      <c r="G32" s="15" t="s">
        <v>170</v>
      </c>
    </row>
    <row r="33" customFormat="false" ht="15" hidden="false" customHeight="false" outlineLevel="0" collapsed="false">
      <c r="C33" s="25" t="s">
        <v>193</v>
      </c>
      <c r="D33" s="25"/>
      <c r="E33" s="43"/>
      <c r="F33" s="42" t="str">
        <f aca="false">IF(E33="","",IF(ABS(E33-Solutions!D47)&lt;=MAX(0.005*ABS(Solutions!D47),0.0005),"Correct","Try again"))</f>
        <v/>
      </c>
      <c r="G33" s="34" t="s">
        <v>194</v>
      </c>
    </row>
    <row r="34" customFormat="false" ht="15" hidden="false" customHeight="false" outlineLevel="0" collapsed="false">
      <c r="C34" s="25" t="s">
        <v>195</v>
      </c>
      <c r="D34" s="25"/>
      <c r="E34" s="43"/>
      <c r="F34" s="42" t="str">
        <f aca="false">IF(E34="","",IF(ABS(E34-Solutions!D48)&lt;=MAX(0.005*ABS(Solutions!D48),0.0005),"Correct","Try again"))</f>
        <v/>
      </c>
    </row>
    <row r="35" customFormat="false" ht="15" hidden="false" customHeight="false" outlineLevel="0" collapsed="false">
      <c r="C35" s="25" t="s">
        <v>196</v>
      </c>
      <c r="D35" s="25"/>
      <c r="E35" s="44"/>
      <c r="F35" s="42" t="str">
        <f aca="false">IF(E35="","",IF(ABS(E35-Solutions!D49)&lt;=MAX(0.005*ABS(Solutions!D49),0.0005),"Correct","Try again"))</f>
        <v/>
      </c>
    </row>
    <row r="36" customFormat="false" ht="15" hidden="false" customHeight="false" outlineLevel="0" collapsed="false">
      <c r="C36" s="25" t="s">
        <v>197</v>
      </c>
      <c r="D36" s="25"/>
      <c r="E36" s="44"/>
      <c r="F36" s="42" t="str">
        <f aca="false">IF(E36="","",IF(ABS(E36-Solutions!D50)&lt;=MAX(0.005*ABS(Solutions!D50),0.0005),"Correct","Try again"))</f>
        <v/>
      </c>
    </row>
    <row r="37" customFormat="false" ht="15" hidden="false" customHeight="false" outlineLevel="0" collapsed="false">
      <c r="C37" s="25" t="s">
        <v>198</v>
      </c>
      <c r="D37" s="25"/>
      <c r="E37" s="44"/>
      <c r="F37" s="42" t="str">
        <f aca="false">IF(E37="","",IF(ABS(E37-Solutions!D51)&lt;=MAX(0.005*ABS(Solutions!D51),0.0005),"Correct","Try again"))</f>
        <v/>
      </c>
    </row>
    <row r="39" customFormat="false" ht="15" hidden="false" customHeight="false" outlineLevel="0" collapsed="false">
      <c r="B39" s="3" t="s">
        <v>199</v>
      </c>
      <c r="C39" s="3" t="s">
        <v>200</v>
      </c>
      <c r="D39" s="4"/>
      <c r="E39" s="4"/>
      <c r="F39" s="4"/>
      <c r="G39" s="4"/>
    </row>
    <row r="40" customFormat="false" ht="45.75" hidden="false" customHeight="true" outlineLevel="0" collapsed="false">
      <c r="C40" s="40" t="s">
        <v>201</v>
      </c>
      <c r="D40" s="40"/>
      <c r="E40" s="40"/>
      <c r="F40" s="40"/>
      <c r="G40" s="40"/>
    </row>
    <row r="41" customFormat="false" ht="15" hidden="false" customHeight="false" outlineLevel="0" collapsed="false">
      <c r="B41" s="15"/>
      <c r="C41" s="15" t="s">
        <v>167</v>
      </c>
      <c r="D41" s="15"/>
      <c r="E41" s="15" t="s">
        <v>168</v>
      </c>
      <c r="F41" s="15" t="s">
        <v>169</v>
      </c>
      <c r="G41" s="15" t="s">
        <v>170</v>
      </c>
    </row>
    <row r="42" customFormat="false" ht="15" hidden="false" customHeight="false" outlineLevel="0" collapsed="false">
      <c r="C42" s="25" t="s">
        <v>202</v>
      </c>
      <c r="D42" s="25"/>
      <c r="E42" s="43"/>
      <c r="F42" s="42" t="str">
        <f aca="false">IF(E42="","",IF(ABS(E42-Solutions!D60)&lt;=MAX(0.005*ABS(Solutions!D60),0.0005),"Correct","Try again"))</f>
        <v/>
      </c>
      <c r="G42" s="34" t="s">
        <v>203</v>
      </c>
    </row>
    <row r="43" customFormat="false" ht="15" hidden="false" customHeight="false" outlineLevel="0" collapsed="false">
      <c r="C43" s="25" t="s">
        <v>204</v>
      </c>
      <c r="D43" s="25"/>
      <c r="E43" s="48"/>
      <c r="F43" s="42" t="str">
        <f aca="false">IF(E43="","",IF(ABS(E43-Solutions!D61)&lt;=MAX(0.005*ABS(Solutions!D61),0.0005),"Correct","Try again"))</f>
        <v/>
      </c>
    </row>
    <row r="44" customFormat="false" ht="15" hidden="false" customHeight="false" outlineLevel="0" collapsed="false">
      <c r="C44" s="25" t="s">
        <v>205</v>
      </c>
      <c r="D44" s="25"/>
      <c r="E44" s="48"/>
      <c r="F44" s="42" t="str">
        <f aca="false">IF(E44="","",IF(ABS(E44-Solutions!D62)&lt;=MAX(0.005*ABS(Solutions!D62),0.0005),"Correct","Try again"))</f>
        <v/>
      </c>
    </row>
    <row r="45" customFormat="false" ht="15" hidden="false" customHeight="false" outlineLevel="0" collapsed="false">
      <c r="C45" s="25" t="s">
        <v>206</v>
      </c>
      <c r="D45" s="25"/>
      <c r="E45" s="44"/>
      <c r="F45" s="42" t="str">
        <f aca="false">IF(E45="","",IF(ABS(E45-Solutions!D63)&lt;=MAX(0.005*ABS(Solutions!D63),0.0005),"Correct","Try again"))</f>
        <v/>
      </c>
    </row>
    <row r="46" customFormat="false" ht="15" hidden="false" customHeight="false" outlineLevel="0" collapsed="false">
      <c r="C46" s="25" t="s">
        <v>207</v>
      </c>
      <c r="D46" s="25"/>
      <c r="E46" s="44"/>
      <c r="F46" s="42" t="str">
        <f aca="false">IF(E46="","",IF(ABS(E46-Solutions!D64)&lt;=MAX(0.005*ABS(Solutions!D64),0.0005),"Correct","Try again"))</f>
        <v/>
      </c>
    </row>
    <row r="48" customFormat="false" ht="15" hidden="false" customHeight="false" outlineLevel="0" collapsed="false">
      <c r="B48" s="3" t="s">
        <v>208</v>
      </c>
      <c r="C48" s="3" t="s">
        <v>209</v>
      </c>
      <c r="D48" s="4"/>
      <c r="E48" s="4"/>
      <c r="F48" s="4"/>
      <c r="G48" s="4"/>
    </row>
    <row r="49" customFormat="false" ht="45.75" hidden="false" customHeight="true" outlineLevel="0" collapsed="false">
      <c r="C49" s="40" t="s">
        <v>210</v>
      </c>
      <c r="D49" s="40"/>
      <c r="E49" s="40"/>
      <c r="F49" s="40"/>
      <c r="G49" s="40"/>
    </row>
    <row r="50" customFormat="false" ht="15" hidden="false" customHeight="false" outlineLevel="0" collapsed="false">
      <c r="B50" s="15"/>
      <c r="C50" s="15" t="s">
        <v>167</v>
      </c>
      <c r="D50" s="15"/>
      <c r="E50" s="15" t="s">
        <v>168</v>
      </c>
      <c r="F50" s="15" t="s">
        <v>169</v>
      </c>
      <c r="G50" s="15" t="s">
        <v>170</v>
      </c>
    </row>
    <row r="51" customFormat="false" ht="15" hidden="false" customHeight="false" outlineLevel="0" collapsed="false">
      <c r="C51" s="25" t="s">
        <v>111</v>
      </c>
      <c r="D51" s="25"/>
      <c r="E51" s="46"/>
      <c r="F51" s="42" t="str">
        <f aca="false">IF(E51="","",IF(ABS(E51-Solutions!D71)&lt;=MAX(0.005*ABS(Solutions!D71),0.0005),"Correct","Try again"))</f>
        <v/>
      </c>
      <c r="G51" s="34" t="s">
        <v>211</v>
      </c>
    </row>
    <row r="52" customFormat="false" ht="15" hidden="false" customHeight="false" outlineLevel="0" collapsed="false">
      <c r="C52" s="25" t="s">
        <v>212</v>
      </c>
      <c r="D52" s="25"/>
      <c r="E52" s="46"/>
      <c r="F52" s="42" t="str">
        <f aca="false">IF(E52="","",IF(ABS(E52-Solutions!D72)&lt;=MAX(0.005*ABS(Solutions!D72),0.0005),"Correct","Try again"))</f>
        <v/>
      </c>
    </row>
    <row r="53" customFormat="false" ht="15" hidden="false" customHeight="false" outlineLevel="0" collapsed="false">
      <c r="C53" s="25" t="s">
        <v>213</v>
      </c>
      <c r="D53" s="25"/>
      <c r="E53" s="44"/>
      <c r="F53" s="42" t="str">
        <f aca="false">IF(E53="","",IF(ABS(E53-Solutions!D73)&lt;=MAX(0.005*ABS(Solutions!D73),0.0005),"Correct","Try again"))</f>
        <v/>
      </c>
    </row>
    <row r="55" customFormat="false" ht="15" hidden="false" customHeight="false" outlineLevel="0" collapsed="false">
      <c r="B55" s="3" t="s">
        <v>214</v>
      </c>
      <c r="C55" s="3" t="s">
        <v>215</v>
      </c>
      <c r="D55" s="4"/>
      <c r="E55" s="4"/>
      <c r="F55" s="4"/>
      <c r="G55" s="4"/>
    </row>
    <row r="56" customFormat="false" ht="45.75" hidden="false" customHeight="true" outlineLevel="0" collapsed="false">
      <c r="C56" s="40" t="s">
        <v>216</v>
      </c>
      <c r="D56" s="40"/>
      <c r="E56" s="40"/>
      <c r="F56" s="40"/>
      <c r="G56" s="40"/>
    </row>
    <row r="57" customFormat="false" ht="15" hidden="false" customHeight="false" outlineLevel="0" collapsed="false">
      <c r="B57" s="15"/>
      <c r="C57" s="15" t="s">
        <v>167</v>
      </c>
      <c r="D57" s="15"/>
      <c r="E57" s="15" t="s">
        <v>168</v>
      </c>
      <c r="F57" s="15" t="s">
        <v>169</v>
      </c>
      <c r="G57" s="15" t="s">
        <v>170</v>
      </c>
    </row>
    <row r="58" customFormat="false" ht="15" hidden="false" customHeight="false" outlineLevel="0" collapsed="false">
      <c r="C58" s="25" t="s">
        <v>172</v>
      </c>
      <c r="D58" s="25"/>
      <c r="E58" s="43"/>
      <c r="F58" s="42" t="str">
        <f aca="false">IF(E58="","",IF(ABS(E58-Solutions!D82)&lt;=MAX(0.005*ABS(Solutions!D82),0.0005),"Correct","Try again"))</f>
        <v/>
      </c>
      <c r="G58" s="34" t="s">
        <v>217</v>
      </c>
    </row>
    <row r="59" customFormat="false" ht="15" hidden="false" customHeight="false" outlineLevel="0" collapsed="false">
      <c r="C59" s="25" t="s">
        <v>218</v>
      </c>
      <c r="D59" s="25"/>
      <c r="E59" s="43"/>
      <c r="F59" s="42" t="str">
        <f aca="false">IF(E59="","",IF(ABS(E59-Solutions!D83)&lt;=MAX(0.005*ABS(Solutions!D83),0.0005),"Correct","Try again"))</f>
        <v/>
      </c>
    </row>
    <row r="60" customFormat="false" ht="15" hidden="false" customHeight="false" outlineLevel="0" collapsed="false">
      <c r="C60" s="25" t="s">
        <v>219</v>
      </c>
      <c r="D60" s="25"/>
      <c r="E60" s="44"/>
      <c r="F60" s="42" t="str">
        <f aca="false">IF(E60="","",IF(ABS(E60-Solutions!D84)&lt;=MAX(0.005*ABS(Solutions!D84),0.0005),"Correct","Try again"))</f>
        <v/>
      </c>
    </row>
    <row r="62" customFormat="false" ht="15" hidden="false" customHeight="false" outlineLevel="0" collapsed="false">
      <c r="B62" s="3" t="s">
        <v>220</v>
      </c>
      <c r="C62" s="3" t="s">
        <v>221</v>
      </c>
      <c r="D62" s="4"/>
      <c r="E62" s="4"/>
      <c r="F62" s="4"/>
      <c r="G62" s="4"/>
    </row>
    <row r="63" customFormat="false" ht="45.75" hidden="false" customHeight="true" outlineLevel="0" collapsed="false">
      <c r="C63" s="40" t="s">
        <v>222</v>
      </c>
      <c r="D63" s="40"/>
      <c r="E63" s="40"/>
      <c r="F63" s="40"/>
      <c r="G63" s="40"/>
    </row>
    <row r="64" customFormat="false" ht="15" hidden="false" customHeight="false" outlineLevel="0" collapsed="false">
      <c r="B64" s="15"/>
      <c r="C64" s="15" t="s">
        <v>167</v>
      </c>
      <c r="D64" s="15"/>
      <c r="E64" s="15" t="s">
        <v>168</v>
      </c>
      <c r="F64" s="15" t="s">
        <v>169</v>
      </c>
      <c r="G64" s="15" t="s">
        <v>170</v>
      </c>
    </row>
    <row r="65" customFormat="false" ht="15" hidden="false" customHeight="false" outlineLevel="0" collapsed="false">
      <c r="C65" s="25" t="s">
        <v>139</v>
      </c>
      <c r="D65" s="25"/>
      <c r="E65" s="45"/>
      <c r="F65" s="42" t="str">
        <f aca="false">IF(E65="","",IF(ABS(E65-Solutions!D94)&lt;=MAX(0.005*ABS(Solutions!D94),0.0005),"Correct","Try again"))</f>
        <v/>
      </c>
      <c r="G65" s="34" t="s">
        <v>223</v>
      </c>
    </row>
    <row r="66" customFormat="false" ht="15" hidden="false" customHeight="false" outlineLevel="0" collapsed="false">
      <c r="C66" s="25" t="s">
        <v>140</v>
      </c>
      <c r="D66" s="25"/>
      <c r="E66" s="45"/>
      <c r="F66" s="42" t="str">
        <f aca="false">IF(E66="","",IF(ABS(E66-Solutions!D95)&lt;=MAX(0.005*ABS(Solutions!D95),0.0005),"Correct","Try again"))</f>
        <v/>
      </c>
    </row>
    <row r="67" customFormat="false" ht="15" hidden="false" customHeight="false" outlineLevel="0" collapsed="false">
      <c r="C67" s="25" t="s">
        <v>224</v>
      </c>
      <c r="D67" s="25"/>
      <c r="E67" s="44"/>
      <c r="F67" s="42" t="str">
        <f aca="false">IF(E67="","",IF(ABS(E67-Solutions!D96)&lt;=MAX(0.005*ABS(Solutions!D96),0.0005),"Correct","Try again"))</f>
        <v/>
      </c>
    </row>
    <row r="68" customFormat="false" ht="15" hidden="false" customHeight="false" outlineLevel="0" collapsed="false">
      <c r="C68" s="25" t="s">
        <v>225</v>
      </c>
      <c r="D68" s="25"/>
      <c r="E68" s="44"/>
      <c r="F68" s="42" t="str">
        <f aca="false">IF(E68="","",IF(ABS(E68-Solutions!D97)&lt;=MAX(0.005*ABS(Solutions!D97),0.0005),"Correct","Try again"))</f>
        <v/>
      </c>
    </row>
    <row r="69" customFormat="false" ht="15" hidden="false" customHeight="false" outlineLevel="0" collapsed="false">
      <c r="C69" s="25" t="s">
        <v>226</v>
      </c>
      <c r="D69" s="25"/>
      <c r="E69" s="44"/>
      <c r="F69" s="42" t="str">
        <f aca="false">IF(E69="","",IF(ABS(E69-Solutions!D98)&lt;=MAX(0.005*ABS(Solutions!D98),0.0005),"Correct","Try again"))</f>
        <v/>
      </c>
    </row>
    <row r="71" customFormat="false" ht="15" hidden="false" customHeight="false" outlineLevel="0" collapsed="false">
      <c r="B71" s="3" t="s">
        <v>227</v>
      </c>
      <c r="C71" s="3" t="s">
        <v>228</v>
      </c>
      <c r="D71" s="4"/>
      <c r="E71" s="4"/>
      <c r="F71" s="4"/>
      <c r="G71" s="4"/>
    </row>
    <row r="72" customFormat="false" ht="45.75" hidden="false" customHeight="true" outlineLevel="0" collapsed="false">
      <c r="C72" s="40" t="s">
        <v>229</v>
      </c>
      <c r="D72" s="40"/>
      <c r="E72" s="40"/>
      <c r="F72" s="40"/>
      <c r="G72" s="40"/>
    </row>
    <row r="73" customFormat="false" ht="15" hidden="false" customHeight="false" outlineLevel="0" collapsed="false">
      <c r="B73" s="15"/>
      <c r="C73" s="15" t="s">
        <v>167</v>
      </c>
      <c r="D73" s="15"/>
      <c r="E73" s="15" t="s">
        <v>168</v>
      </c>
      <c r="F73" s="15" t="s">
        <v>169</v>
      </c>
      <c r="G73" s="15" t="s">
        <v>170</v>
      </c>
    </row>
    <row r="74" customFormat="false" ht="23.85" hidden="false" customHeight="false" outlineLevel="0" collapsed="false">
      <c r="C74" s="25" t="s">
        <v>174</v>
      </c>
      <c r="D74" s="25"/>
      <c r="E74" s="43"/>
      <c r="F74" s="42" t="str">
        <f aca="false">IF(E74="","",IF(ABS(E74-Solutions!D108)&lt;=MAX(0.005*ABS(Solutions!D108),0.0005),"Correct","Try again"))</f>
        <v/>
      </c>
      <c r="G74" s="34" t="s">
        <v>230</v>
      </c>
    </row>
    <row r="75" customFormat="false" ht="15" hidden="false" customHeight="false" outlineLevel="0" collapsed="false">
      <c r="C75" s="25" t="s">
        <v>81</v>
      </c>
      <c r="D75" s="25"/>
      <c r="E75" s="46"/>
      <c r="F75" s="42" t="str">
        <f aca="false">IF(E75="","",IF(ABS(E75-Solutions!D109)&lt;=MAX(0.005*ABS(Solutions!D109),0.0005),"Correct","Try again"))</f>
        <v/>
      </c>
    </row>
    <row r="76" customFormat="false" ht="15" hidden="false" customHeight="false" outlineLevel="0" collapsed="false">
      <c r="C76" s="25" t="s">
        <v>231</v>
      </c>
      <c r="D76" s="25"/>
      <c r="E76" s="45"/>
      <c r="F76" s="42" t="str">
        <f aca="false">IF(E76="","",IF(ABS(E76-Solutions!D110)&lt;=MAX(0.005*ABS(Solutions!D110),0.0005),"Correct","Try again"))</f>
        <v/>
      </c>
    </row>
    <row r="77" customFormat="false" ht="15" hidden="false" customHeight="false" outlineLevel="0" collapsed="false">
      <c r="C77" s="25" t="s">
        <v>232</v>
      </c>
      <c r="D77" s="25"/>
      <c r="E77" s="45"/>
      <c r="F77" s="42" t="str">
        <f aca="false">IF(E77="","",IF(ABS(E77-Solutions!D111)&lt;=MAX(0.005*ABS(Solutions!D111),0.0005),"Correct","Try again"))</f>
        <v/>
      </c>
    </row>
    <row r="78" customFormat="false" ht="15" hidden="false" customHeight="false" outlineLevel="0" collapsed="false">
      <c r="C78" s="25" t="s">
        <v>233</v>
      </c>
      <c r="D78" s="25"/>
      <c r="E78" s="45"/>
      <c r="F78" s="42" t="str">
        <f aca="false">IF(E78="","",IF(ABS(E78-Solutions!D112)&lt;=MAX(0.005*ABS(Solutions!D112),0.0005),"Correct","Try again"))</f>
        <v/>
      </c>
    </row>
    <row r="80" customFormat="false" ht="15" hidden="false" customHeight="false" outlineLevel="0" collapsed="false">
      <c r="B80" s="3" t="s">
        <v>234</v>
      </c>
      <c r="C80" s="3" t="s">
        <v>235</v>
      </c>
      <c r="D80" s="4"/>
      <c r="E80" s="4"/>
      <c r="F80" s="4"/>
      <c r="G80" s="4"/>
    </row>
    <row r="81" customFormat="false" ht="45.75" hidden="false" customHeight="true" outlineLevel="0" collapsed="false">
      <c r="C81" s="40" t="s">
        <v>236</v>
      </c>
      <c r="D81" s="40"/>
      <c r="E81" s="40"/>
      <c r="F81" s="40"/>
      <c r="G81" s="40"/>
    </row>
    <row r="82" customFormat="false" ht="15" hidden="false" customHeight="false" outlineLevel="0" collapsed="false">
      <c r="B82" s="15"/>
      <c r="C82" s="15" t="s">
        <v>167</v>
      </c>
      <c r="D82" s="15"/>
      <c r="E82" s="15" t="s">
        <v>168</v>
      </c>
      <c r="F82" s="15" t="s">
        <v>169</v>
      </c>
      <c r="G82" s="15" t="s">
        <v>170</v>
      </c>
    </row>
    <row r="83" customFormat="false" ht="15" hidden="false" customHeight="false" outlineLevel="0" collapsed="false">
      <c r="C83" s="25" t="s">
        <v>237</v>
      </c>
      <c r="D83" s="25"/>
      <c r="E83" s="46"/>
      <c r="F83" s="42" t="str">
        <f aca="false">IF(E83="","",IF(ABS(E83-Solutions!D119)&lt;=MAX(0.005*ABS(Solutions!D119),0.0005),"Correct","Try again"))</f>
        <v/>
      </c>
      <c r="G83" s="34" t="s">
        <v>238</v>
      </c>
    </row>
    <row r="84" customFormat="false" ht="15" hidden="false" customHeight="false" outlineLevel="0" collapsed="false">
      <c r="C84" s="25" t="s">
        <v>239</v>
      </c>
      <c r="D84" s="25"/>
      <c r="E84" s="46"/>
      <c r="F84" s="42" t="str">
        <f aca="false">IF(E84="","",IF(ABS(E84-Solutions!D120)&lt;=MAX(0.005*ABS(Solutions!D120),0.0005),"Correct","Try again"))</f>
        <v/>
      </c>
    </row>
    <row r="85" customFormat="false" ht="15" hidden="false" customHeight="false" outlineLevel="0" collapsed="false">
      <c r="C85" s="25" t="s">
        <v>240</v>
      </c>
      <c r="D85" s="25"/>
      <c r="E85" s="44"/>
      <c r="F85" s="42" t="str">
        <f aca="false">IF(E85="","",IF(ABS(E85-Solutions!D121)&lt;=MAX(0.005*ABS(Solutions!D121),0.0005),"Correct","Try again"))</f>
        <v/>
      </c>
    </row>
    <row r="87" customFormat="false" ht="15" hidden="false" customHeight="false" outlineLevel="0" collapsed="false">
      <c r="B87" s="3" t="s">
        <v>241</v>
      </c>
      <c r="C87" s="3" t="s">
        <v>242</v>
      </c>
      <c r="D87" s="4"/>
      <c r="E87" s="4"/>
      <c r="F87" s="4"/>
      <c r="G87" s="4"/>
    </row>
    <row r="88" customFormat="false" ht="45.75" hidden="false" customHeight="true" outlineLevel="0" collapsed="false">
      <c r="C88" s="40" t="s">
        <v>243</v>
      </c>
      <c r="D88" s="40"/>
      <c r="E88" s="40"/>
      <c r="F88" s="40"/>
      <c r="G88" s="40"/>
    </row>
    <row r="89" customFormat="false" ht="15" hidden="false" customHeight="false" outlineLevel="0" collapsed="false">
      <c r="B89" s="15"/>
      <c r="C89" s="15" t="s">
        <v>167</v>
      </c>
      <c r="D89" s="15"/>
      <c r="E89" s="15" t="s">
        <v>168</v>
      </c>
      <c r="F89" s="15" t="s">
        <v>169</v>
      </c>
      <c r="G89" s="15" t="s">
        <v>170</v>
      </c>
    </row>
    <row r="90" customFormat="false" ht="23.85" hidden="false" customHeight="false" outlineLevel="0" collapsed="false">
      <c r="C90" s="25" t="s">
        <v>244</v>
      </c>
      <c r="D90" s="25"/>
      <c r="E90" s="47"/>
      <c r="F90" s="42" t="str">
        <f aca="false">IF(E90="","",IF(ABS(E90-Solutions!D128)&lt;=MAX(0.005*ABS(Solutions!D128),0.0005),"Correct","Try again"))</f>
        <v/>
      </c>
      <c r="G90" s="34" t="s">
        <v>245</v>
      </c>
    </row>
    <row r="91" customFormat="false" ht="15" hidden="false" customHeight="false" outlineLevel="0" collapsed="false">
      <c r="C91" s="25" t="s">
        <v>246</v>
      </c>
      <c r="D91" s="25"/>
      <c r="E91" s="47"/>
      <c r="F91" s="42" t="str">
        <f aca="false">IF(E91="","",IF(ABS(E91-Solutions!D129)&lt;=MAX(0.005*ABS(Solutions!D129),0.0005),"Correct","Try again"))</f>
        <v/>
      </c>
    </row>
    <row r="92" customFormat="false" ht="15" hidden="false" customHeight="false" outlineLevel="0" collapsed="false">
      <c r="C92" s="25" t="s">
        <v>247</v>
      </c>
      <c r="D92" s="25"/>
      <c r="E92" s="45"/>
      <c r="F92" s="42" t="str">
        <f aca="false">IF(E92="","",IF(ABS(E92-Solutions!D130)&lt;=MAX(0.005*ABS(Solutions!D130),0.0005),"Correct","Try again"))</f>
        <v/>
      </c>
    </row>
    <row r="94" customFormat="false" ht="15" hidden="false" customHeight="false" outlineLevel="0" collapsed="false">
      <c r="B94" s="3" t="s">
        <v>248</v>
      </c>
      <c r="C94" s="3" t="s">
        <v>249</v>
      </c>
      <c r="D94" s="4"/>
      <c r="E94" s="4"/>
      <c r="F94" s="4"/>
      <c r="G94" s="4"/>
    </row>
    <row r="95" customFormat="false" ht="45.75" hidden="false" customHeight="true" outlineLevel="0" collapsed="false">
      <c r="C95" s="40" t="s">
        <v>250</v>
      </c>
      <c r="D95" s="40"/>
      <c r="E95" s="40"/>
      <c r="F95" s="40"/>
      <c r="G95" s="40"/>
    </row>
    <row r="96" customFormat="false" ht="15" hidden="false" customHeight="false" outlineLevel="0" collapsed="false">
      <c r="B96" s="15"/>
      <c r="C96" s="15" t="s">
        <v>167</v>
      </c>
      <c r="D96" s="15"/>
      <c r="E96" s="15" t="s">
        <v>168</v>
      </c>
      <c r="F96" s="15" t="s">
        <v>169</v>
      </c>
      <c r="G96" s="15" t="s">
        <v>170</v>
      </c>
    </row>
    <row r="97" customFormat="false" ht="15" hidden="false" customHeight="false" outlineLevel="0" collapsed="false">
      <c r="C97" s="25" t="s">
        <v>251</v>
      </c>
      <c r="D97" s="25"/>
      <c r="E97" s="44"/>
      <c r="F97" s="42" t="str">
        <f aca="false">IF(E97="","",IF(ABS(E97-Solutions!D137)&lt;=MAX(0.005*ABS(Solutions!D137),0.0005),"Correct","Try again"))</f>
        <v/>
      </c>
      <c r="G97" s="34" t="s">
        <v>252</v>
      </c>
    </row>
    <row r="98" customFormat="false" ht="15" hidden="false" customHeight="false" outlineLevel="0" collapsed="false">
      <c r="C98" s="25" t="s">
        <v>253</v>
      </c>
      <c r="D98" s="25"/>
      <c r="E98" s="44"/>
      <c r="F98" s="42" t="str">
        <f aca="false">IF(E98="","",IF(ABS(E98-Solutions!D138)&lt;=MAX(0.005*ABS(Solutions!D138),0.0005),"Correct","Try again"))</f>
        <v/>
      </c>
    </row>
    <row r="99" customFormat="false" ht="15" hidden="false" customHeight="false" outlineLevel="0" collapsed="false">
      <c r="C99" s="25" t="s">
        <v>254</v>
      </c>
      <c r="D99" s="25"/>
      <c r="E99" s="44"/>
      <c r="F99" s="42" t="str">
        <f aca="false">IF(E99="","",IF(ABS(E99-Solutions!D139)&lt;=MAX(0.005*ABS(Solutions!D139),0.0005),"Correct","Try again"))</f>
        <v/>
      </c>
    </row>
    <row r="101" customFormat="false" ht="15" hidden="false" customHeight="false" outlineLevel="0" collapsed="false">
      <c r="C101" s="5" t="s">
        <v>255</v>
      </c>
      <c r="E101" s="5" t="n">
        <f aca="false">COUNTIF(F6:F100,"Correct")</f>
        <v>1</v>
      </c>
      <c r="F101" s="5" t="str">
        <f aca="false">"of "&amp;SUMPRODUCT(--(E6:E100&lt;&gt;""))&amp;" attempted"</f>
        <v>of 12 attempted</v>
      </c>
    </row>
  </sheetData>
  <mergeCells count="62">
    <mergeCell ref="C7:G7"/>
    <mergeCell ref="C9:D9"/>
    <mergeCell ref="C10:D10"/>
    <mergeCell ref="C11:D11"/>
    <mergeCell ref="C12:D12"/>
    <mergeCell ref="C13:D13"/>
    <mergeCell ref="C14:D14"/>
    <mergeCell ref="C15:D15"/>
    <mergeCell ref="C18:G18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31:G31"/>
    <mergeCell ref="C33:D33"/>
    <mergeCell ref="C34:D34"/>
    <mergeCell ref="C35:D35"/>
    <mergeCell ref="C36:D36"/>
    <mergeCell ref="C37:D37"/>
    <mergeCell ref="C40:G40"/>
    <mergeCell ref="C42:D42"/>
    <mergeCell ref="C43:D43"/>
    <mergeCell ref="C44:D44"/>
    <mergeCell ref="C45:D45"/>
    <mergeCell ref="C46:D46"/>
    <mergeCell ref="C49:G49"/>
    <mergeCell ref="C51:D51"/>
    <mergeCell ref="C52:D52"/>
    <mergeCell ref="C53:D53"/>
    <mergeCell ref="C56:G56"/>
    <mergeCell ref="C58:D58"/>
    <mergeCell ref="C59:D59"/>
    <mergeCell ref="C60:D60"/>
    <mergeCell ref="C63:G63"/>
    <mergeCell ref="C65:D65"/>
    <mergeCell ref="C66:D66"/>
    <mergeCell ref="C67:D67"/>
    <mergeCell ref="C68:D68"/>
    <mergeCell ref="C69:D69"/>
    <mergeCell ref="C72:G72"/>
    <mergeCell ref="C74:D74"/>
    <mergeCell ref="C75:D75"/>
    <mergeCell ref="C76:D76"/>
    <mergeCell ref="C77:D77"/>
    <mergeCell ref="C78:D78"/>
    <mergeCell ref="C81:G81"/>
    <mergeCell ref="C83:D83"/>
    <mergeCell ref="C84:D84"/>
    <mergeCell ref="C85:D85"/>
    <mergeCell ref="C88:G88"/>
    <mergeCell ref="C90:D90"/>
    <mergeCell ref="C91:D91"/>
    <mergeCell ref="C92:D92"/>
    <mergeCell ref="C95:G95"/>
    <mergeCell ref="C97:D97"/>
    <mergeCell ref="C98:D98"/>
    <mergeCell ref="C99:D9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54"/>
    <col collapsed="false" customWidth="true" hidden="false" outlineLevel="0" max="4" min="4" style="0" width="16"/>
    <col collapsed="false" customWidth="true" hidden="false" outlineLevel="0" max="5" min="5" style="0" width="40"/>
  </cols>
  <sheetData>
    <row r="2" customFormat="false" ht="19.7" hidden="false" customHeight="false" outlineLevel="0" collapsed="false">
      <c r="B2" s="1" t="s">
        <v>256</v>
      </c>
    </row>
    <row r="3" customFormat="false" ht="15" hidden="false" customHeight="false" outlineLevel="0" collapsed="false">
      <c r="B3" s="2" t="s">
        <v>257</v>
      </c>
    </row>
    <row r="5" customFormat="false" ht="15" hidden="false" customHeight="false" outlineLevel="0" collapsed="false">
      <c r="B5" s="3" t="s">
        <v>164</v>
      </c>
      <c r="C5" s="3" t="s">
        <v>165</v>
      </c>
      <c r="D5" s="4"/>
      <c r="E5" s="4"/>
    </row>
    <row r="6" customFormat="false" ht="15" hidden="false" customHeight="false" outlineLevel="0" collapsed="false">
      <c r="C6" s="8" t="s">
        <v>258</v>
      </c>
      <c r="D6" s="32" t="n">
        <v>1000</v>
      </c>
    </row>
    <row r="7" customFormat="false" ht="15" hidden="false" customHeight="false" outlineLevel="0" collapsed="false">
      <c r="C7" s="8" t="s">
        <v>259</v>
      </c>
      <c r="D7" s="32" t="n">
        <v>600</v>
      </c>
    </row>
    <row r="8" customFormat="false" ht="15" hidden="false" customHeight="false" outlineLevel="0" collapsed="false">
      <c r="C8" s="8" t="s">
        <v>260</v>
      </c>
      <c r="D8" s="32" t="n">
        <v>400</v>
      </c>
    </row>
    <row r="9" customFormat="false" ht="15" hidden="false" customHeight="false" outlineLevel="0" collapsed="false">
      <c r="C9" s="8" t="s">
        <v>43</v>
      </c>
      <c r="D9" s="11" t="n">
        <v>200</v>
      </c>
    </row>
    <row r="10" customFormat="false" ht="15" hidden="false" customHeight="false" outlineLevel="0" collapsed="false">
      <c r="C10" s="8" t="s">
        <v>261</v>
      </c>
      <c r="D10" s="32" t="n">
        <v>500</v>
      </c>
    </row>
    <row r="11" customFormat="false" ht="15" hidden="false" customHeight="false" outlineLevel="0" collapsed="false">
      <c r="C11" s="8" t="s">
        <v>262</v>
      </c>
      <c r="D11" s="32" t="n">
        <v>300</v>
      </c>
    </row>
    <row r="12" customFormat="false" ht="15" hidden="false" customHeight="false" outlineLevel="0" collapsed="false">
      <c r="C12" s="8" t="s">
        <v>263</v>
      </c>
      <c r="D12" s="32" t="n">
        <v>200</v>
      </c>
    </row>
    <row r="13" customFormat="false" ht="15" hidden="false" customHeight="false" outlineLevel="0" collapsed="false">
      <c r="C13" s="8" t="s">
        <v>44</v>
      </c>
      <c r="D13" s="11" t="n">
        <v>100</v>
      </c>
    </row>
    <row r="14" customFormat="false" ht="15" hidden="false" customHeight="false" outlineLevel="0" collapsed="false">
      <c r="C14" s="5" t="s">
        <v>23</v>
      </c>
      <c r="D14" s="13" t="n">
        <f aca="false">D13/D9</f>
        <v>0.5</v>
      </c>
      <c r="E14" s="2" t="s">
        <v>264</v>
      </c>
    </row>
    <row r="15" customFormat="false" ht="15" hidden="false" customHeight="false" outlineLevel="0" collapsed="false">
      <c r="C15" s="5" t="s">
        <v>172</v>
      </c>
      <c r="D15" s="23" t="n">
        <f aca="false">D10*D14</f>
        <v>250</v>
      </c>
      <c r="E15" s="2" t="s">
        <v>265</v>
      </c>
    </row>
    <row r="16" customFormat="false" ht="15" hidden="false" customHeight="false" outlineLevel="0" collapsed="false">
      <c r="C16" s="5" t="s">
        <v>174</v>
      </c>
      <c r="D16" s="23" t="n">
        <f aca="false">D6+D15</f>
        <v>1250</v>
      </c>
      <c r="E16" s="2" t="s">
        <v>266</v>
      </c>
    </row>
    <row r="17" customFormat="false" ht="15" hidden="false" customHeight="false" outlineLevel="0" collapsed="false">
      <c r="C17" s="5" t="s">
        <v>175</v>
      </c>
      <c r="D17" s="27" t="n">
        <f aca="false">D7/D16</f>
        <v>0.48</v>
      </c>
      <c r="E17" s="2"/>
    </row>
    <row r="18" customFormat="false" ht="15" hidden="false" customHeight="false" outlineLevel="0" collapsed="false">
      <c r="C18" s="5" t="s">
        <v>176</v>
      </c>
      <c r="D18" s="27" t="n">
        <f aca="false">D8/D16</f>
        <v>0.32</v>
      </c>
      <c r="E18" s="2"/>
    </row>
    <row r="19" customFormat="false" ht="15" hidden="false" customHeight="false" outlineLevel="0" collapsed="false">
      <c r="C19" s="5" t="s">
        <v>177</v>
      </c>
      <c r="D19" s="27" t="n">
        <f aca="false">D11*D14/D16</f>
        <v>0.12</v>
      </c>
      <c r="E19" s="2"/>
    </row>
    <row r="20" customFormat="false" ht="15" hidden="false" customHeight="false" outlineLevel="0" collapsed="false">
      <c r="C20" s="5" t="s">
        <v>178</v>
      </c>
      <c r="D20" s="27" t="n">
        <f aca="false">D12*D14/D16</f>
        <v>0.08</v>
      </c>
      <c r="E20" s="2"/>
    </row>
    <row r="22" customFormat="false" ht="15" hidden="false" customHeight="false" outlineLevel="0" collapsed="false">
      <c r="B22" s="3" t="s">
        <v>179</v>
      </c>
      <c r="C22" s="3" t="s">
        <v>267</v>
      </c>
      <c r="D22" s="4"/>
      <c r="E22" s="4"/>
    </row>
    <row r="23" customFormat="false" ht="15" hidden="false" customHeight="false" outlineLevel="0" collapsed="false">
      <c r="C23" s="8" t="s">
        <v>268</v>
      </c>
      <c r="D23" s="32" t="n">
        <v>1000</v>
      </c>
    </row>
    <row r="24" customFormat="false" ht="15" hidden="false" customHeight="false" outlineLevel="0" collapsed="false">
      <c r="C24" s="8" t="s">
        <v>269</v>
      </c>
      <c r="D24" s="32" t="n">
        <v>400</v>
      </c>
    </row>
    <row r="25" customFormat="false" ht="15" hidden="false" customHeight="false" outlineLevel="0" collapsed="false">
      <c r="C25" s="8" t="s">
        <v>270</v>
      </c>
      <c r="D25" s="32" t="n">
        <v>600</v>
      </c>
    </row>
    <row r="26" customFormat="false" ht="15" hidden="false" customHeight="false" outlineLevel="0" collapsed="false">
      <c r="C26" s="8" t="s">
        <v>271</v>
      </c>
      <c r="D26" s="11" t="n">
        <v>50</v>
      </c>
    </row>
    <row r="27" customFormat="false" ht="15" hidden="false" customHeight="false" outlineLevel="0" collapsed="false">
      <c r="C27" s="8" t="s">
        <v>272</v>
      </c>
      <c r="D27" s="32" t="n">
        <v>100</v>
      </c>
    </row>
    <row r="28" customFormat="false" ht="15" hidden="false" customHeight="false" outlineLevel="0" collapsed="false">
      <c r="C28" s="8" t="s">
        <v>273</v>
      </c>
      <c r="D28" s="32" t="n">
        <v>10000</v>
      </c>
    </row>
    <row r="29" customFormat="false" ht="15" hidden="false" customHeight="false" outlineLevel="0" collapsed="false">
      <c r="C29" s="8" t="s">
        <v>274</v>
      </c>
      <c r="D29" s="32" t="n">
        <v>2000</v>
      </c>
    </row>
    <row r="30" customFormat="false" ht="15" hidden="false" customHeight="false" outlineLevel="0" collapsed="false">
      <c r="C30" s="5" t="s">
        <v>182</v>
      </c>
      <c r="D30" s="49" t="n">
        <f aca="false">D24*D26+D28-D29</f>
        <v>28000</v>
      </c>
      <c r="E30" s="2" t="s">
        <v>275</v>
      </c>
    </row>
    <row r="31" customFormat="false" ht="15" hidden="false" customHeight="false" outlineLevel="0" collapsed="false">
      <c r="C31" s="5" t="s">
        <v>184</v>
      </c>
      <c r="D31" s="35" t="n">
        <f aca="false">D30/D27</f>
        <v>280</v>
      </c>
      <c r="E31" s="2"/>
    </row>
    <row r="32" customFormat="false" ht="15" hidden="false" customHeight="false" outlineLevel="0" collapsed="false">
      <c r="C32" s="5" t="s">
        <v>23</v>
      </c>
      <c r="D32" s="13" t="n">
        <f aca="false">D31/D26</f>
        <v>5.6</v>
      </c>
      <c r="E32" s="2" t="s">
        <v>276</v>
      </c>
    </row>
    <row r="33" customFormat="false" ht="15" hidden="false" customHeight="false" outlineLevel="0" collapsed="false">
      <c r="C33" s="5" t="s">
        <v>185</v>
      </c>
      <c r="D33" s="23" t="n">
        <f aca="false">D27*D32</f>
        <v>560</v>
      </c>
      <c r="E33" s="2"/>
    </row>
    <row r="34" customFormat="false" ht="15" hidden="false" customHeight="false" outlineLevel="0" collapsed="false">
      <c r="C34" s="5" t="s">
        <v>186</v>
      </c>
      <c r="D34" s="23" t="n">
        <f aca="false">D24</f>
        <v>400</v>
      </c>
      <c r="E34" s="2" t="s">
        <v>277</v>
      </c>
    </row>
    <row r="35" customFormat="false" ht="15" hidden="false" customHeight="false" outlineLevel="0" collapsed="false">
      <c r="C35" s="5" t="s">
        <v>187</v>
      </c>
      <c r="D35" s="23" t="n">
        <f aca="false">D23-D34+D33</f>
        <v>1160</v>
      </c>
      <c r="E35" s="2"/>
    </row>
    <row r="36" customFormat="false" ht="15" hidden="false" customHeight="false" outlineLevel="0" collapsed="false">
      <c r="C36" s="5" t="s">
        <v>188</v>
      </c>
      <c r="D36" s="31" t="n">
        <f aca="false">D33/D35</f>
        <v>0.482758620689655</v>
      </c>
      <c r="E36" s="2" t="s">
        <v>278</v>
      </c>
    </row>
    <row r="37" customFormat="false" ht="15" hidden="false" customHeight="false" outlineLevel="0" collapsed="false">
      <c r="C37" s="5" t="s">
        <v>189</v>
      </c>
      <c r="D37" s="31" t="n">
        <f aca="false">D25/D35</f>
        <v>0.517241379310345</v>
      </c>
      <c r="E37" s="2"/>
    </row>
    <row r="38" customFormat="false" ht="15" hidden="false" customHeight="false" outlineLevel="0" collapsed="false">
      <c r="C38" s="5" t="s">
        <v>81</v>
      </c>
      <c r="D38" s="35" t="n">
        <f aca="false">(D23*D26+D28-D29)/D35</f>
        <v>50</v>
      </c>
      <c r="E38" s="2" t="s">
        <v>279</v>
      </c>
    </row>
    <row r="40" customFormat="false" ht="15" hidden="false" customHeight="false" outlineLevel="0" collapsed="false">
      <c r="B40" s="3" t="s">
        <v>190</v>
      </c>
      <c r="C40" s="3" t="s">
        <v>280</v>
      </c>
      <c r="D40" s="4"/>
      <c r="E40" s="4"/>
    </row>
    <row r="41" customFormat="false" ht="15" hidden="false" customHeight="false" outlineLevel="0" collapsed="false">
      <c r="C41" s="8" t="s">
        <v>99</v>
      </c>
      <c r="D41" s="32" t="n">
        <v>2000</v>
      </c>
    </row>
    <row r="42" customFormat="false" ht="15" hidden="false" customHeight="false" outlineLevel="0" collapsed="false">
      <c r="C42" s="8" t="s">
        <v>281</v>
      </c>
      <c r="D42" s="32" t="n">
        <v>1000</v>
      </c>
    </row>
    <row r="43" customFormat="false" ht="15" hidden="false" customHeight="false" outlineLevel="0" collapsed="false">
      <c r="C43" s="8" t="s">
        <v>282</v>
      </c>
      <c r="D43" s="32" t="n">
        <v>400</v>
      </c>
    </row>
    <row r="44" customFormat="false" ht="15" hidden="false" customHeight="false" outlineLevel="0" collapsed="false">
      <c r="C44" s="8" t="s">
        <v>283</v>
      </c>
      <c r="D44" s="32" t="n">
        <v>600</v>
      </c>
    </row>
    <row r="45" customFormat="false" ht="15" hidden="false" customHeight="false" outlineLevel="0" collapsed="false">
      <c r="C45" s="8" t="s">
        <v>284</v>
      </c>
      <c r="D45" s="32" t="n">
        <v>1</v>
      </c>
    </row>
    <row r="46" customFormat="false" ht="15" hidden="false" customHeight="false" outlineLevel="0" collapsed="false">
      <c r="C46" s="8" t="s">
        <v>285</v>
      </c>
      <c r="D46" s="32" t="n">
        <v>4</v>
      </c>
    </row>
    <row r="47" customFormat="false" ht="15" hidden="false" customHeight="false" outlineLevel="0" collapsed="false">
      <c r="C47" s="5" t="s">
        <v>193</v>
      </c>
      <c r="D47" s="23" t="n">
        <f aca="false">D41*D45/D46</f>
        <v>500</v>
      </c>
      <c r="E47" s="2"/>
    </row>
    <row r="48" customFormat="false" ht="15" hidden="false" customHeight="false" outlineLevel="0" collapsed="false">
      <c r="C48" s="5" t="s">
        <v>195</v>
      </c>
      <c r="D48" s="23" t="n">
        <f aca="false">D42*D45/D46</f>
        <v>250</v>
      </c>
      <c r="E48" s="2"/>
    </row>
    <row r="49" customFormat="false" ht="15" hidden="false" customHeight="false" outlineLevel="0" collapsed="false">
      <c r="C49" s="5" t="s">
        <v>196</v>
      </c>
      <c r="D49" s="27" t="n">
        <f aca="false">D48/D47</f>
        <v>0.5</v>
      </c>
      <c r="E49" s="2" t="s">
        <v>286</v>
      </c>
    </row>
    <row r="50" customFormat="false" ht="15" hidden="false" customHeight="false" outlineLevel="0" collapsed="false">
      <c r="C50" s="5" t="s">
        <v>197</v>
      </c>
      <c r="D50" s="27" t="n">
        <f aca="false">D43*D45/D46/D47</f>
        <v>0.2</v>
      </c>
      <c r="E50" s="2"/>
    </row>
    <row r="51" customFormat="false" ht="15" hidden="false" customHeight="false" outlineLevel="0" collapsed="false">
      <c r="C51" s="5" t="s">
        <v>198</v>
      </c>
      <c r="D51" s="27" t="n">
        <f aca="false">D44*D45/D46/D47</f>
        <v>0.3</v>
      </c>
      <c r="E51" s="2"/>
    </row>
    <row r="53" customFormat="false" ht="15" hidden="false" customHeight="false" outlineLevel="0" collapsed="false">
      <c r="B53" s="3" t="s">
        <v>199</v>
      </c>
      <c r="C53" s="3" t="s">
        <v>287</v>
      </c>
      <c r="D53" s="4"/>
      <c r="E53" s="4"/>
    </row>
    <row r="54" customFormat="false" ht="15" hidden="false" customHeight="false" outlineLevel="0" collapsed="false">
      <c r="C54" s="8" t="s">
        <v>99</v>
      </c>
      <c r="D54" s="32" t="n">
        <v>1000</v>
      </c>
    </row>
    <row r="55" customFormat="false" ht="15" hidden="false" customHeight="false" outlineLevel="0" collapsed="false">
      <c r="C55" s="8" t="s">
        <v>288</v>
      </c>
      <c r="D55" s="32" t="n">
        <v>700</v>
      </c>
    </row>
    <row r="56" customFormat="false" ht="15" hidden="false" customHeight="false" outlineLevel="0" collapsed="false">
      <c r="C56" s="8" t="s">
        <v>289</v>
      </c>
      <c r="D56" s="32" t="n">
        <v>300</v>
      </c>
    </row>
    <row r="57" customFormat="false" ht="15" hidden="false" customHeight="false" outlineLevel="0" collapsed="false">
      <c r="C57" s="8" t="s">
        <v>284</v>
      </c>
      <c r="D57" s="32" t="n">
        <v>1</v>
      </c>
    </row>
    <row r="58" customFormat="false" ht="15" hidden="false" customHeight="false" outlineLevel="0" collapsed="false">
      <c r="C58" s="8" t="s">
        <v>285</v>
      </c>
      <c r="D58" s="32" t="n">
        <v>10</v>
      </c>
    </row>
    <row r="59" customFormat="false" ht="15" hidden="false" customHeight="false" outlineLevel="0" collapsed="false">
      <c r="C59" s="8" t="s">
        <v>290</v>
      </c>
      <c r="D59" s="33" t="n">
        <v>0.4</v>
      </c>
    </row>
    <row r="60" customFormat="false" ht="15" hidden="false" customHeight="false" outlineLevel="0" collapsed="false">
      <c r="C60" s="5" t="s">
        <v>202</v>
      </c>
      <c r="D60" s="23" t="n">
        <f aca="false">D54*D57/D58</f>
        <v>100</v>
      </c>
      <c r="E60" s="2"/>
    </row>
    <row r="61" customFormat="false" ht="15" hidden="false" customHeight="false" outlineLevel="0" collapsed="false">
      <c r="C61" s="5" t="s">
        <v>204</v>
      </c>
      <c r="D61" s="50" t="n">
        <f aca="false">D60/(1-D59)</f>
        <v>166.666666666667</v>
      </c>
      <c r="E61" s="2" t="s">
        <v>291</v>
      </c>
    </row>
    <row r="62" customFormat="false" ht="15" hidden="false" customHeight="false" outlineLevel="0" collapsed="false">
      <c r="C62" s="5" t="s">
        <v>205</v>
      </c>
      <c r="D62" s="50" t="n">
        <f aca="false">D61*D59</f>
        <v>66.6666666666667</v>
      </c>
      <c r="E62" s="2"/>
    </row>
    <row r="63" customFormat="false" ht="15" hidden="false" customHeight="false" outlineLevel="0" collapsed="false">
      <c r="C63" s="5" t="s">
        <v>206</v>
      </c>
      <c r="D63" s="27" t="n">
        <f aca="false">D55*D57/D58/D61</f>
        <v>0.42</v>
      </c>
      <c r="E63" s="2"/>
    </row>
    <row r="64" customFormat="false" ht="15" hidden="false" customHeight="false" outlineLevel="0" collapsed="false">
      <c r="C64" s="5" t="s">
        <v>207</v>
      </c>
      <c r="D64" s="27" t="n">
        <f aca="false">D63+D55/D54*D59</f>
        <v>0.7</v>
      </c>
      <c r="E64" s="2" t="s">
        <v>292</v>
      </c>
    </row>
    <row r="66" customFormat="false" ht="15" hidden="false" customHeight="false" outlineLevel="0" collapsed="false">
      <c r="B66" s="3" t="s">
        <v>208</v>
      </c>
      <c r="C66" s="3" t="s">
        <v>293</v>
      </c>
      <c r="D66" s="4"/>
      <c r="E66" s="4"/>
    </row>
    <row r="67" customFormat="false" ht="15" hidden="false" customHeight="false" outlineLevel="0" collapsed="false">
      <c r="C67" s="8" t="s">
        <v>294</v>
      </c>
      <c r="D67" s="11" t="n">
        <v>500</v>
      </c>
    </row>
    <row r="68" customFormat="false" ht="15" hidden="false" customHeight="false" outlineLevel="0" collapsed="false">
      <c r="C68" s="8" t="s">
        <v>295</v>
      </c>
      <c r="D68" s="11" t="n">
        <v>120</v>
      </c>
    </row>
    <row r="69" customFormat="false" ht="15" hidden="false" customHeight="false" outlineLevel="0" collapsed="false">
      <c r="C69" s="8" t="s">
        <v>296</v>
      </c>
      <c r="D69" s="32" t="n">
        <v>1</v>
      </c>
    </row>
    <row r="70" customFormat="false" ht="15" hidden="false" customHeight="false" outlineLevel="0" collapsed="false">
      <c r="C70" s="8" t="s">
        <v>297</v>
      </c>
      <c r="D70" s="11" t="n">
        <v>150</v>
      </c>
    </row>
    <row r="71" customFormat="false" ht="15" hidden="false" customHeight="false" outlineLevel="0" collapsed="false">
      <c r="C71" s="5" t="s">
        <v>111</v>
      </c>
      <c r="D71" s="35" t="n">
        <f aca="false">D67-D68</f>
        <v>380</v>
      </c>
      <c r="E71" s="2"/>
    </row>
    <row r="72" customFormat="false" ht="15" hidden="false" customHeight="false" outlineLevel="0" collapsed="false">
      <c r="C72" s="5" t="s">
        <v>212</v>
      </c>
      <c r="D72" s="35" t="n">
        <f aca="false">D71+D70*D69</f>
        <v>530</v>
      </c>
      <c r="E72" s="2" t="s">
        <v>298</v>
      </c>
    </row>
    <row r="73" customFormat="false" ht="15" hidden="false" customHeight="false" outlineLevel="0" collapsed="false">
      <c r="C73" s="5" t="s">
        <v>213</v>
      </c>
      <c r="D73" s="27" t="n">
        <f aca="false">D72/D67-1</f>
        <v>0.0600000000000001</v>
      </c>
      <c r="E73" s="2"/>
    </row>
    <row r="75" customFormat="false" ht="15" hidden="false" customHeight="false" outlineLevel="0" collapsed="false">
      <c r="B75" s="3" t="s">
        <v>214</v>
      </c>
      <c r="C75" s="3" t="s">
        <v>299</v>
      </c>
      <c r="D75" s="4"/>
      <c r="E75" s="4"/>
    </row>
    <row r="76" customFormat="false" ht="15" hidden="false" customHeight="false" outlineLevel="0" collapsed="false">
      <c r="C76" s="8" t="s">
        <v>300</v>
      </c>
      <c r="D76" s="51" t="n">
        <v>3157.93</v>
      </c>
    </row>
    <row r="77" customFormat="false" ht="15" hidden="false" customHeight="false" outlineLevel="0" collapsed="false">
      <c r="C77" s="8" t="s">
        <v>301</v>
      </c>
      <c r="D77" s="51" t="n">
        <v>1055.75</v>
      </c>
    </row>
    <row r="78" customFormat="false" ht="15" hidden="false" customHeight="false" outlineLevel="0" collapsed="false">
      <c r="C78" s="8" t="s">
        <v>302</v>
      </c>
      <c r="D78" s="51" t="n">
        <v>93.24</v>
      </c>
    </row>
    <row r="79" customFormat="false" ht="15" hidden="false" customHeight="false" outlineLevel="0" collapsed="false">
      <c r="C79" s="8" t="s">
        <v>303</v>
      </c>
      <c r="D79" s="51" t="n">
        <v>473.61</v>
      </c>
    </row>
    <row r="80" customFormat="false" ht="15" hidden="false" customHeight="false" outlineLevel="0" collapsed="false">
      <c r="C80" s="8" t="s">
        <v>23</v>
      </c>
      <c r="D80" s="37" t="n">
        <v>5.1</v>
      </c>
    </row>
    <row r="81" customFormat="false" ht="15" hidden="false" customHeight="false" outlineLevel="0" collapsed="false">
      <c r="C81" s="8" t="s">
        <v>122</v>
      </c>
      <c r="D81" s="33" t="n">
        <v>0.904</v>
      </c>
    </row>
    <row r="82" customFormat="false" ht="15" hidden="false" customHeight="false" outlineLevel="0" collapsed="false">
      <c r="C82" s="5" t="s">
        <v>172</v>
      </c>
      <c r="D82" s="23" t="n">
        <f aca="false">D79*D80</f>
        <v>2415.411</v>
      </c>
      <c r="E82" s="2"/>
    </row>
    <row r="83" customFormat="false" ht="15" hidden="false" customHeight="false" outlineLevel="0" collapsed="false">
      <c r="C83" s="5" t="s">
        <v>218</v>
      </c>
      <c r="D83" s="23" t="n">
        <f aca="false">D76-D77+D82</f>
        <v>4517.591</v>
      </c>
      <c r="E83" s="2" t="s">
        <v>304</v>
      </c>
    </row>
    <row r="84" customFormat="false" ht="15" hidden="false" customHeight="false" outlineLevel="0" collapsed="false">
      <c r="C84" s="5" t="s">
        <v>219</v>
      </c>
      <c r="D84" s="27" t="n">
        <f aca="false">(D78+D81*D82)/D83</f>
        <v>0.503979121615923</v>
      </c>
      <c r="E84" s="2" t="s">
        <v>305</v>
      </c>
    </row>
    <row r="86" customFormat="false" ht="15" hidden="false" customHeight="false" outlineLevel="0" collapsed="false">
      <c r="B86" s="3" t="s">
        <v>220</v>
      </c>
      <c r="C86" s="3" t="s">
        <v>306</v>
      </c>
      <c r="D86" s="4"/>
      <c r="E86" s="4"/>
    </row>
    <row r="87" customFormat="false" ht="15" hidden="false" customHeight="false" outlineLevel="0" collapsed="false">
      <c r="C87" s="8" t="s">
        <v>307</v>
      </c>
      <c r="D87" s="32" t="n">
        <v>100</v>
      </c>
    </row>
    <row r="88" customFormat="false" ht="15" hidden="false" customHeight="false" outlineLevel="0" collapsed="false">
      <c r="C88" s="8" t="s">
        <v>308</v>
      </c>
      <c r="D88" s="32" t="n">
        <v>33</v>
      </c>
    </row>
    <row r="89" customFormat="false" ht="15" hidden="false" customHeight="false" outlineLevel="0" collapsed="false">
      <c r="C89" s="8" t="s">
        <v>283</v>
      </c>
      <c r="D89" s="32" t="n">
        <v>39</v>
      </c>
    </row>
    <row r="90" customFormat="false" ht="15" hidden="false" customHeight="false" outlineLevel="0" collapsed="false">
      <c r="C90" s="8" t="s">
        <v>309</v>
      </c>
      <c r="D90" s="32" t="n">
        <v>25</v>
      </c>
    </row>
    <row r="91" customFormat="false" ht="15" hidden="false" customHeight="false" outlineLevel="0" collapsed="false">
      <c r="C91" s="8" t="s">
        <v>310</v>
      </c>
      <c r="D91" s="32" t="n">
        <v>3</v>
      </c>
    </row>
    <row r="92" customFormat="false" ht="15" hidden="false" customHeight="false" outlineLevel="0" collapsed="false">
      <c r="C92" s="8" t="s">
        <v>311</v>
      </c>
      <c r="D92" s="32" t="n">
        <v>43</v>
      </c>
    </row>
    <row r="93" customFormat="false" ht="15" hidden="false" customHeight="false" outlineLevel="0" collapsed="false">
      <c r="C93" s="8" t="s">
        <v>122</v>
      </c>
      <c r="D93" s="33" t="n">
        <v>0.9</v>
      </c>
    </row>
    <row r="94" customFormat="false" ht="15" hidden="false" customHeight="false" outlineLevel="0" collapsed="false">
      <c r="C94" s="5" t="s">
        <v>139</v>
      </c>
      <c r="D94" s="49" t="n">
        <f aca="false">D88+D92</f>
        <v>76</v>
      </c>
      <c r="E94" s="2" t="s">
        <v>312</v>
      </c>
    </row>
    <row r="95" customFormat="false" ht="15" hidden="false" customHeight="false" outlineLevel="0" collapsed="false">
      <c r="C95" s="5" t="s">
        <v>140</v>
      </c>
      <c r="D95" s="49" t="n">
        <f aca="false">D87-D88+D94</f>
        <v>143</v>
      </c>
      <c r="E95" s="2"/>
    </row>
    <row r="96" customFormat="false" ht="15" hidden="false" customHeight="false" outlineLevel="0" collapsed="false">
      <c r="C96" s="5" t="s">
        <v>224</v>
      </c>
      <c r="D96" s="27" t="n">
        <f aca="false">(D91+D93*D94)/D95</f>
        <v>0.499300699300699</v>
      </c>
      <c r="E96" s="2"/>
    </row>
    <row r="97" customFormat="false" ht="15" hidden="false" customHeight="false" outlineLevel="0" collapsed="false">
      <c r="C97" s="5" t="s">
        <v>225</v>
      </c>
      <c r="D97" s="27" t="n">
        <f aca="false">D90/D95</f>
        <v>0.174825174825175</v>
      </c>
      <c r="E97" s="2" t="s">
        <v>313</v>
      </c>
    </row>
    <row r="98" customFormat="false" ht="15" hidden="false" customHeight="false" outlineLevel="0" collapsed="false">
      <c r="C98" s="5" t="s">
        <v>226</v>
      </c>
      <c r="D98" s="27" t="n">
        <f aca="false">D90/D87</f>
        <v>0.25</v>
      </c>
      <c r="E98" s="2" t="s">
        <v>314</v>
      </c>
    </row>
    <row r="100" customFormat="false" ht="15" hidden="false" customHeight="false" outlineLevel="0" collapsed="false">
      <c r="B100" s="3" t="s">
        <v>227</v>
      </c>
      <c r="C100" s="3" t="s">
        <v>315</v>
      </c>
      <c r="D100" s="4"/>
      <c r="E100" s="4"/>
    </row>
    <row r="101" customFormat="false" ht="15" hidden="false" customHeight="false" outlineLevel="0" collapsed="false">
      <c r="C101" s="8" t="s">
        <v>268</v>
      </c>
      <c r="D101" s="32" t="n">
        <v>1000</v>
      </c>
    </row>
    <row r="102" customFormat="false" ht="15" hidden="false" customHeight="false" outlineLevel="0" collapsed="false">
      <c r="C102" s="8" t="s">
        <v>269</v>
      </c>
      <c r="D102" s="32" t="n">
        <v>400</v>
      </c>
    </row>
    <row r="103" customFormat="false" ht="15" hidden="false" customHeight="false" outlineLevel="0" collapsed="false">
      <c r="C103" s="8" t="s">
        <v>270</v>
      </c>
      <c r="D103" s="32" t="n">
        <v>600</v>
      </c>
    </row>
    <row r="104" customFormat="false" ht="15" hidden="false" customHeight="false" outlineLevel="0" collapsed="false">
      <c r="C104" s="8" t="s">
        <v>271</v>
      </c>
      <c r="D104" s="11" t="n">
        <v>50</v>
      </c>
    </row>
    <row r="105" customFormat="false" ht="15" hidden="false" customHeight="false" outlineLevel="0" collapsed="false">
      <c r="C105" s="8" t="s">
        <v>316</v>
      </c>
      <c r="D105" s="32" t="n">
        <v>100</v>
      </c>
    </row>
    <row r="106" customFormat="false" ht="15" hidden="false" customHeight="false" outlineLevel="0" collapsed="false">
      <c r="C106" s="8" t="s">
        <v>182</v>
      </c>
      <c r="D106" s="32" t="n">
        <v>28000</v>
      </c>
    </row>
    <row r="107" customFormat="false" ht="15" hidden="false" customHeight="false" outlineLevel="0" collapsed="false">
      <c r="C107" s="8" t="s">
        <v>317</v>
      </c>
      <c r="D107" s="37" t="n">
        <v>6.5</v>
      </c>
    </row>
    <row r="108" customFormat="false" ht="15" hidden="false" customHeight="false" outlineLevel="0" collapsed="false">
      <c r="C108" s="5" t="s">
        <v>174</v>
      </c>
      <c r="D108" s="23" t="n">
        <f aca="false">D101-D102+D105*D107</f>
        <v>1250</v>
      </c>
      <c r="E108" s="2"/>
    </row>
    <row r="109" customFormat="false" ht="15" hidden="false" customHeight="false" outlineLevel="0" collapsed="false">
      <c r="C109" s="5" t="s">
        <v>81</v>
      </c>
      <c r="D109" s="35" t="n">
        <f aca="false">(D101*D104+D106-D102*D104)/D108</f>
        <v>46.4</v>
      </c>
      <c r="E109" s="2" t="s">
        <v>318</v>
      </c>
    </row>
    <row r="110" customFormat="false" ht="15" hidden="false" customHeight="false" outlineLevel="0" collapsed="false">
      <c r="C110" s="5" t="s">
        <v>231</v>
      </c>
      <c r="D110" s="49" t="n">
        <f aca="false">D103*D104</f>
        <v>30000</v>
      </c>
      <c r="E110" s="2"/>
    </row>
    <row r="111" customFormat="false" ht="15" hidden="false" customHeight="false" outlineLevel="0" collapsed="false">
      <c r="C111" s="5" t="s">
        <v>232</v>
      </c>
      <c r="D111" s="49" t="n">
        <f aca="false">D103*D109</f>
        <v>27840</v>
      </c>
      <c r="E111" s="2"/>
    </row>
    <row r="112" customFormat="false" ht="15" hidden="false" customHeight="false" outlineLevel="0" collapsed="false">
      <c r="C112" s="5" t="s">
        <v>233</v>
      </c>
      <c r="D112" s="49" t="n">
        <f aca="false">D111-D110</f>
        <v>-2160</v>
      </c>
      <c r="E112" s="2" t="s">
        <v>319</v>
      </c>
    </row>
    <row r="114" customFormat="false" ht="15" hidden="false" customHeight="false" outlineLevel="0" collapsed="false">
      <c r="B114" s="3" t="s">
        <v>234</v>
      </c>
      <c r="C114" s="3" t="s">
        <v>235</v>
      </c>
      <c r="D114" s="4"/>
      <c r="E114" s="4"/>
    </row>
    <row r="115" customFormat="false" ht="15" hidden="false" customHeight="false" outlineLevel="0" collapsed="false">
      <c r="C115" s="8" t="s">
        <v>320</v>
      </c>
      <c r="D115" s="32" t="n">
        <v>537</v>
      </c>
    </row>
    <row r="116" customFormat="false" ht="15" hidden="false" customHeight="false" outlineLevel="0" collapsed="false">
      <c r="C116" s="8" t="s">
        <v>321</v>
      </c>
      <c r="D116" s="36" t="n">
        <v>3157.9</v>
      </c>
    </row>
    <row r="117" customFormat="false" ht="15" hidden="false" customHeight="false" outlineLevel="0" collapsed="false">
      <c r="C117" s="8" t="s">
        <v>322</v>
      </c>
      <c r="D117" s="32" t="n">
        <v>830</v>
      </c>
    </row>
    <row r="118" customFormat="false" ht="15" hidden="false" customHeight="false" outlineLevel="0" collapsed="false">
      <c r="C118" s="8" t="s">
        <v>218</v>
      </c>
      <c r="D118" s="36" t="n">
        <v>4517.6</v>
      </c>
    </row>
    <row r="119" customFormat="false" ht="15" hidden="false" customHeight="false" outlineLevel="0" collapsed="false">
      <c r="C119" s="5" t="s">
        <v>237</v>
      </c>
      <c r="D119" s="35" t="n">
        <f aca="false">D115/D116*10</f>
        <v>1.70049716583806</v>
      </c>
      <c r="E119" s="2" t="s">
        <v>323</v>
      </c>
    </row>
    <row r="120" customFormat="false" ht="15" hidden="false" customHeight="false" outlineLevel="0" collapsed="false">
      <c r="C120" s="5" t="s">
        <v>239</v>
      </c>
      <c r="D120" s="35" t="n">
        <f aca="false">D117/D118*10</f>
        <v>1.83725872144501</v>
      </c>
      <c r="E120" s="2"/>
    </row>
    <row r="121" customFormat="false" ht="15" hidden="false" customHeight="false" outlineLevel="0" collapsed="false">
      <c r="C121" s="5" t="s">
        <v>240</v>
      </c>
      <c r="D121" s="27" t="n">
        <f aca="false">D120/D119-1</f>
        <v>0.0804244537153094</v>
      </c>
      <c r="E121" s="2" t="s">
        <v>324</v>
      </c>
    </row>
    <row r="123" customFormat="false" ht="15" hidden="false" customHeight="false" outlineLevel="0" collapsed="false">
      <c r="B123" s="3" t="s">
        <v>241</v>
      </c>
      <c r="C123" s="3" t="s">
        <v>325</v>
      </c>
      <c r="D123" s="4"/>
      <c r="E123" s="4"/>
    </row>
    <row r="124" customFormat="false" ht="15" hidden="false" customHeight="false" outlineLevel="0" collapsed="false">
      <c r="C124" s="8" t="s">
        <v>326</v>
      </c>
      <c r="D124" s="36" t="n">
        <v>2700</v>
      </c>
    </row>
    <row r="125" customFormat="false" ht="15" hidden="false" customHeight="false" outlineLevel="0" collapsed="false">
      <c r="C125" s="8" t="s">
        <v>327</v>
      </c>
      <c r="D125" s="36" t="n">
        <v>60</v>
      </c>
    </row>
    <row r="126" customFormat="false" ht="15" hidden="false" customHeight="false" outlineLevel="0" collapsed="false">
      <c r="C126" s="8" t="s">
        <v>328</v>
      </c>
      <c r="D126" s="36" t="n">
        <v>760</v>
      </c>
    </row>
    <row r="127" customFormat="false" ht="15" hidden="false" customHeight="false" outlineLevel="0" collapsed="false">
      <c r="C127" s="8" t="s">
        <v>329</v>
      </c>
      <c r="D127" s="36" t="n">
        <v>4.3</v>
      </c>
    </row>
    <row r="128" customFormat="false" ht="15" hidden="false" customHeight="false" outlineLevel="0" collapsed="false">
      <c r="C128" s="5" t="s">
        <v>244</v>
      </c>
      <c r="D128" s="31" t="n">
        <f aca="false">D124/(D124+D125)</f>
        <v>0.978260869565217</v>
      </c>
      <c r="E128" s="2" t="s">
        <v>330</v>
      </c>
    </row>
    <row r="129" customFormat="false" ht="15" hidden="false" customHeight="false" outlineLevel="0" collapsed="false">
      <c r="C129" s="5" t="s">
        <v>246</v>
      </c>
      <c r="D129" s="31" t="n">
        <f aca="false">D126/(D126+D127)</f>
        <v>0.994373936935758</v>
      </c>
      <c r="E129" s="2" t="s">
        <v>331</v>
      </c>
    </row>
    <row r="130" customFormat="false" ht="15" hidden="false" customHeight="false" outlineLevel="0" collapsed="false">
      <c r="C130" s="5" t="s">
        <v>247</v>
      </c>
      <c r="D130" s="49" t="n">
        <f aca="false">IF(AND(D128&gt;=0.75,D126&gt;D127),1,0)</f>
        <v>1</v>
      </c>
      <c r="E130" s="2"/>
    </row>
    <row r="132" customFormat="false" ht="15" hidden="false" customHeight="false" outlineLevel="0" collapsed="false">
      <c r="B132" s="3" t="s">
        <v>248</v>
      </c>
      <c r="C132" s="3" t="s">
        <v>31</v>
      </c>
      <c r="D132" s="4"/>
      <c r="E132" s="4"/>
    </row>
    <row r="133" customFormat="false" ht="15" hidden="false" customHeight="false" outlineLevel="0" collapsed="false">
      <c r="C133" s="8" t="s">
        <v>332</v>
      </c>
      <c r="D133" s="52" t="n">
        <v>0.3827</v>
      </c>
    </row>
    <row r="134" customFormat="false" ht="15" hidden="false" customHeight="false" outlineLevel="0" collapsed="false">
      <c r="C134" s="8" t="s">
        <v>333</v>
      </c>
      <c r="D134" s="33" t="n">
        <v>0.51</v>
      </c>
    </row>
    <row r="135" customFormat="false" ht="15" hidden="false" customHeight="false" outlineLevel="0" collapsed="false">
      <c r="C135" s="8" t="s">
        <v>334</v>
      </c>
      <c r="D135" s="52" t="n">
        <v>0.2675</v>
      </c>
    </row>
    <row r="136" customFormat="false" ht="15" hidden="false" customHeight="false" outlineLevel="0" collapsed="false">
      <c r="C136" s="8" t="s">
        <v>335</v>
      </c>
      <c r="D136" s="33" t="n">
        <v>1</v>
      </c>
    </row>
    <row r="137" customFormat="false" ht="15" hidden="false" customHeight="false" outlineLevel="0" collapsed="false">
      <c r="C137" s="5" t="s">
        <v>251</v>
      </c>
      <c r="D137" s="27" t="n">
        <f aca="false">D133*D134</f>
        <v>0.195177</v>
      </c>
      <c r="E137" s="2"/>
    </row>
    <row r="138" customFormat="false" ht="15" hidden="false" customHeight="false" outlineLevel="0" collapsed="false">
      <c r="C138" s="5" t="s">
        <v>253</v>
      </c>
      <c r="D138" s="27" t="n">
        <f aca="false">D135*D136</f>
        <v>0.2675</v>
      </c>
      <c r="E138" s="2"/>
    </row>
    <row r="139" customFormat="false" ht="15" hidden="false" customHeight="false" outlineLevel="0" collapsed="false">
      <c r="C139" s="5" t="s">
        <v>254</v>
      </c>
      <c r="D139" s="27" t="n">
        <f aca="false">D138-D137</f>
        <v>0.072323</v>
      </c>
      <c r="E139" s="2" t="s">
        <v>336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2026-10-18T09:02:58Z</dcterms:created>
  <dc:creator>openpyxl</dc:creator>
  <dc:description/>
  <dc:language>en-US</dc:language>
  <cp:lastModifiedBy/>
  <dcterms:modified xsi:type="dcterms:W3CDTF">2026-10-18T09:02:58Z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